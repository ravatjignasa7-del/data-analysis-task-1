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enovo\Downloads\"/>
    </mc:Choice>
  </mc:AlternateContent>
  <bookViews>
    <workbookView xWindow="0" yWindow="0" windowWidth="11415" windowHeight="9345" activeTab="2"/>
  </bookViews>
  <sheets>
    <sheet name="pivot table" sheetId="6" r:id="rId1"/>
    <sheet name="Sheet4" sheetId="9" state="hidden" r:id="rId2"/>
    <sheet name="PartB- EDA" sheetId="1" r:id="rId3"/>
  </sheets>
  <calcPr calcId="152511"/>
  <pivotCaches>
    <pivotCache cacheId="1" r:id="rId4"/>
    <pivotCache cacheId="6" r:id="rId5"/>
  </pivotCaches>
</workbook>
</file>

<file path=xl/calcChain.xml><?xml version="1.0" encoding="utf-8"?>
<calcChain xmlns="http://schemas.openxmlformats.org/spreadsheetml/2006/main">
  <c r="B4" i="1" l="1"/>
  <c r="B6" i="1"/>
  <c r="B5" i="1"/>
  <c r="B3" i="1"/>
  <c r="B2" i="1"/>
</calcChain>
</file>

<file path=xl/sharedStrings.xml><?xml version="1.0" encoding="utf-8"?>
<sst xmlns="http://schemas.openxmlformats.org/spreadsheetml/2006/main" count="2777" uniqueCount="606">
  <si>
    <t>Total Sales</t>
  </si>
  <si>
    <t>Total Profit</t>
  </si>
  <si>
    <t>Total Orders</t>
  </si>
  <si>
    <t>Average Order Value</t>
  </si>
  <si>
    <t>Total Quantity Sold</t>
  </si>
  <si>
    <t>Branch</t>
  </si>
  <si>
    <t>City</t>
  </si>
  <si>
    <t>Customer_type</t>
  </si>
  <si>
    <t>Gender</t>
  </si>
  <si>
    <t>Product_line</t>
  </si>
  <si>
    <t>Unit_price</t>
  </si>
  <si>
    <t>Quantity</t>
  </si>
  <si>
    <t>Tax_5%</t>
  </si>
  <si>
    <t>Sales</t>
  </si>
  <si>
    <t>Date</t>
  </si>
  <si>
    <t>Time</t>
  </si>
  <si>
    <t>Payment</t>
  </si>
  <si>
    <t>cogs</t>
  </si>
  <si>
    <t>gross_margin_percentage</t>
  </si>
  <si>
    <t>gross_income</t>
  </si>
  <si>
    <t>Rating</t>
  </si>
  <si>
    <t>Month</t>
  </si>
  <si>
    <t>750-67-8428</t>
  </si>
  <si>
    <t>Alex</t>
  </si>
  <si>
    <t>Yangon</t>
  </si>
  <si>
    <t>Member</t>
  </si>
  <si>
    <t>Female</t>
  </si>
  <si>
    <t>Health and beauty</t>
  </si>
  <si>
    <t>1:08:00 PM</t>
  </si>
  <si>
    <t>Ewallet</t>
  </si>
  <si>
    <t>January</t>
  </si>
  <si>
    <t>226-31-3081</t>
  </si>
  <si>
    <t>Giza</t>
  </si>
  <si>
    <t>Naypyitaw</t>
  </si>
  <si>
    <t>Normal</t>
  </si>
  <si>
    <t>Electronic accessories</t>
  </si>
  <si>
    <t>10:29:00 AM</t>
  </si>
  <si>
    <t>Cash</t>
  </si>
  <si>
    <t>March</t>
  </si>
  <si>
    <t>631-41-3108</t>
  </si>
  <si>
    <t>Home and lifestyle</t>
  </si>
  <si>
    <t>1:23:00 PM</t>
  </si>
  <si>
    <t>Credit card</t>
  </si>
  <si>
    <t>123-19-1176</t>
  </si>
  <si>
    <t>8:33:00 PM</t>
  </si>
  <si>
    <t>373-73-7910</t>
  </si>
  <si>
    <t>Sports and travel</t>
  </si>
  <si>
    <t>10:37:00 AM</t>
  </si>
  <si>
    <t>February</t>
  </si>
  <si>
    <t>699-14-3026</t>
  </si>
  <si>
    <t>6:30:00 PM</t>
  </si>
  <si>
    <t>355-53-5943</t>
  </si>
  <si>
    <t>2:36:00 PM</t>
  </si>
  <si>
    <t>315-22-5665</t>
  </si>
  <si>
    <t>11:38:00 AM</t>
  </si>
  <si>
    <t>665-32-9167</t>
  </si>
  <si>
    <t>5:15:00 PM</t>
  </si>
  <si>
    <t>692-92-5582</t>
  </si>
  <si>
    <t>Cairo</t>
  </si>
  <si>
    <t>Mandalay</t>
  </si>
  <si>
    <t>Food and beverages</t>
  </si>
  <si>
    <t>1:27:00 PM</t>
  </si>
  <si>
    <t>351-62-0822</t>
  </si>
  <si>
    <t>Fashion accessories</t>
  </si>
  <si>
    <t>6:07:00 PM</t>
  </si>
  <si>
    <t>529-56-3974</t>
  </si>
  <si>
    <t>5:03:00 PM</t>
  </si>
  <si>
    <t>365-64-0515</t>
  </si>
  <si>
    <t>10:25:00 AM</t>
  </si>
  <si>
    <t>252-56-2699</t>
  </si>
  <si>
    <t>4:48:00 PM</t>
  </si>
  <si>
    <t>829-34-3910</t>
  </si>
  <si>
    <t>7:21:00 PM</t>
  </si>
  <si>
    <t>299-46-1805</t>
  </si>
  <si>
    <t>4:19:00 PM</t>
  </si>
  <si>
    <t>656-95-9349</t>
  </si>
  <si>
    <t>11:03:00 AM</t>
  </si>
  <si>
    <t>765-26-6951</t>
  </si>
  <si>
    <t>10:39:00 AM</t>
  </si>
  <si>
    <t>329-62-1586</t>
  </si>
  <si>
    <t>6:00:00 PM</t>
  </si>
  <si>
    <t>319-50-3348</t>
  </si>
  <si>
    <t>3:30:00 PM</t>
  </si>
  <si>
    <t>300-71-4605</t>
  </si>
  <si>
    <t>11:24:00 AM</t>
  </si>
  <si>
    <t>371-85-5789</t>
  </si>
  <si>
    <t>10:40:00 AM</t>
  </si>
  <si>
    <t>273-16-6619</t>
  </si>
  <si>
    <t>12:20:00 PM</t>
  </si>
  <si>
    <t>636-48-8204</t>
  </si>
  <si>
    <t>11:15:00 AM</t>
  </si>
  <si>
    <t>549-59-1358</t>
  </si>
  <si>
    <t>5:36:00 PM</t>
  </si>
  <si>
    <t>227-03-5010</t>
  </si>
  <si>
    <t>7:20:00 PM</t>
  </si>
  <si>
    <t>649-29-6775</t>
  </si>
  <si>
    <t>3:31:00 PM</t>
  </si>
  <si>
    <t>189-17-4241</t>
  </si>
  <si>
    <t>12:17:00 PM</t>
  </si>
  <si>
    <t>145-94-9061</t>
  </si>
  <si>
    <t>7:48:00 PM</t>
  </si>
  <si>
    <t>848-62-7243</t>
  </si>
  <si>
    <t>3:36:00 PM</t>
  </si>
  <si>
    <t>871-79-8483</t>
  </si>
  <si>
    <t>7:39:00 PM</t>
  </si>
  <si>
    <t>149-71-6266</t>
  </si>
  <si>
    <t>12:43:00 PM</t>
  </si>
  <si>
    <t>640-49-2076</t>
  </si>
  <si>
    <t>2:49:00 PM</t>
  </si>
  <si>
    <t>595-11-5460</t>
  </si>
  <si>
    <t>10:12:00 AM</t>
  </si>
  <si>
    <t>183-56-6882</t>
  </si>
  <si>
    <t>10:42:00 AM</t>
  </si>
  <si>
    <t>232-16-2483</t>
  </si>
  <si>
    <t>12:28:00 PM</t>
  </si>
  <si>
    <t>129-29-8530</t>
  </si>
  <si>
    <t>7:15:00 PM</t>
  </si>
  <si>
    <t>272-65-1806</t>
  </si>
  <si>
    <t>5:17:00 PM</t>
  </si>
  <si>
    <t>333-73-7901</t>
  </si>
  <si>
    <t>1:24:00 PM</t>
  </si>
  <si>
    <t>777-82-7220</t>
  </si>
  <si>
    <t>1:01:00 PM</t>
  </si>
  <si>
    <t>280-35-5823</t>
  </si>
  <si>
    <t>6:45:00 PM</t>
  </si>
  <si>
    <t>554-53-8700</t>
  </si>
  <si>
    <t>10:11:00 AM</t>
  </si>
  <si>
    <t>354-25-5821</t>
  </si>
  <si>
    <t>1:03:00 PM</t>
  </si>
  <si>
    <t>228-96-1411</t>
  </si>
  <si>
    <t>8:39:00 PM</t>
  </si>
  <si>
    <t>617-15-4209</t>
  </si>
  <si>
    <t>7:47:00 PM</t>
  </si>
  <si>
    <t>132-32-9879</t>
  </si>
  <si>
    <t>370-41-7321</t>
  </si>
  <si>
    <t>5:24:00 PM</t>
  </si>
  <si>
    <t>727-46-3608</t>
  </si>
  <si>
    <t>3:47:00 PM</t>
  </si>
  <si>
    <t>669-54-1719</t>
  </si>
  <si>
    <t>12:45:00 PM</t>
  </si>
  <si>
    <t>574-22-5561</t>
  </si>
  <si>
    <t>5:08:00 PM</t>
  </si>
  <si>
    <t>326-78-5178</t>
  </si>
  <si>
    <t>10:19:00 AM</t>
  </si>
  <si>
    <t>162-48-8011</t>
  </si>
  <si>
    <t>3:10:00 PM</t>
  </si>
  <si>
    <t>616-24-2851</t>
  </si>
  <si>
    <t>2:42:00 PM</t>
  </si>
  <si>
    <t>778-71-5554</t>
  </si>
  <si>
    <t>3:46:00 PM</t>
  </si>
  <si>
    <t>242-55-6721</t>
  </si>
  <si>
    <t>11:49:00 AM</t>
  </si>
  <si>
    <t>399-46-5918</t>
  </si>
  <si>
    <t>7:01:00 PM</t>
  </si>
  <si>
    <t>106-35-6779</t>
  </si>
  <si>
    <t>11:26:00 AM</t>
  </si>
  <si>
    <t>635-40-6220</t>
  </si>
  <si>
    <t>11:28:00 AM</t>
  </si>
  <si>
    <t>817-48-8732</t>
  </si>
  <si>
    <t>3:55:00 PM</t>
  </si>
  <si>
    <t>120-06-4233</t>
  </si>
  <si>
    <t>8:36:00 PM</t>
  </si>
  <si>
    <t>285-68-5083</t>
  </si>
  <si>
    <t>5:47:00 PM</t>
  </si>
  <si>
    <t>803-83-5989</t>
  </si>
  <si>
    <t>10:55:00 AM</t>
  </si>
  <si>
    <t>347-34-2234</t>
  </si>
  <si>
    <t>1:40:00 PM</t>
  </si>
  <si>
    <t>199-75-8169</t>
  </si>
  <si>
    <t>12:27:00 PM</t>
  </si>
  <si>
    <t>853-23-2453</t>
  </si>
  <si>
    <t>2:35:00 PM</t>
  </si>
  <si>
    <t>877-22-3308</t>
  </si>
  <si>
    <t>4:40:00 PM</t>
  </si>
  <si>
    <t>838-78-4295</t>
  </si>
  <si>
    <t>3:43:00 PM</t>
  </si>
  <si>
    <t>109-28-2512</t>
  </si>
  <si>
    <t>3:01:00 PM</t>
  </si>
  <si>
    <t>232-11-3025</t>
  </si>
  <si>
    <t>10:04:00 AM</t>
  </si>
  <si>
    <t>382-03-4532</t>
  </si>
  <si>
    <t>6:50:00 PM</t>
  </si>
  <si>
    <t>393-65-2792</t>
  </si>
  <si>
    <t>12:46:00 PM</t>
  </si>
  <si>
    <t>796-12-2025</t>
  </si>
  <si>
    <t>510-95-6347</t>
  </si>
  <si>
    <t>6:17:00 PM</t>
  </si>
  <si>
    <t>841-35-6630</t>
  </si>
  <si>
    <t>6:21:00 PM</t>
  </si>
  <si>
    <t>287-21-9091</t>
  </si>
  <si>
    <t>732-94-0499</t>
  </si>
  <si>
    <t>5:04:00 PM</t>
  </si>
  <si>
    <t>263-10-3913</t>
  </si>
  <si>
    <t>2:20:00 PM</t>
  </si>
  <si>
    <t>381-20-0914</t>
  </si>
  <si>
    <t>3:48:00 PM</t>
  </si>
  <si>
    <t>829-49-1914</t>
  </si>
  <si>
    <t>4:24:00 PM</t>
  </si>
  <si>
    <t>756-01-7507</t>
  </si>
  <si>
    <t>6:56:00 PM</t>
  </si>
  <si>
    <t>870-72-4431</t>
  </si>
  <si>
    <t>847-38-7188</t>
  </si>
  <si>
    <t>7:56:00 PM</t>
  </si>
  <si>
    <t>480-63-2856</t>
  </si>
  <si>
    <t>6:37:00 PM</t>
  </si>
  <si>
    <t>787-56-0757</t>
  </si>
  <si>
    <t>360-39-5055</t>
  </si>
  <si>
    <t>10:17:00 AM</t>
  </si>
  <si>
    <t>730-50-9884</t>
  </si>
  <si>
    <t>2:31:00 PM</t>
  </si>
  <si>
    <t>362-58-8315</t>
  </si>
  <si>
    <t>10:23:00 AM</t>
  </si>
  <si>
    <t>633-44-8566</t>
  </si>
  <si>
    <t>8:35:00 PM</t>
  </si>
  <si>
    <t>504-35-8843</t>
  </si>
  <si>
    <t>4:57:00 PM</t>
  </si>
  <si>
    <t>318-68-5053</t>
  </si>
  <si>
    <t>5:55:00 PM</t>
  </si>
  <si>
    <t>565-80-5980</t>
  </si>
  <si>
    <t>225-32-0908</t>
  </si>
  <si>
    <t>7:54:00 PM</t>
  </si>
  <si>
    <t>873-51-0671</t>
  </si>
  <si>
    <t>4:42:00 PM</t>
  </si>
  <si>
    <t>152-08-9985</t>
  </si>
  <si>
    <t>12:09:00 PM</t>
  </si>
  <si>
    <t>512-91-0811</t>
  </si>
  <si>
    <t>8:05:00 PM</t>
  </si>
  <si>
    <t>594-34-4444</t>
  </si>
  <si>
    <t>8:38:00 PM</t>
  </si>
  <si>
    <t>766-85-7061</t>
  </si>
  <si>
    <t>871-39-9221</t>
  </si>
  <si>
    <t>1:11:00 PM</t>
  </si>
  <si>
    <t>865-92-6136</t>
  </si>
  <si>
    <t>10:16:00 AM</t>
  </si>
  <si>
    <t>733-01-9107</t>
  </si>
  <si>
    <t>6:14:00 PM</t>
  </si>
  <si>
    <t>163-56-7055</t>
  </si>
  <si>
    <t>189-98-2939</t>
  </si>
  <si>
    <t>1:22:00 PM</t>
  </si>
  <si>
    <t>551-21-3069</t>
  </si>
  <si>
    <t>11:27:00 AM</t>
  </si>
  <si>
    <t>212-62-1842</t>
  </si>
  <si>
    <t>4:44:00 PM</t>
  </si>
  <si>
    <t>716-39-1409</t>
  </si>
  <si>
    <t>6:19:00 PM</t>
  </si>
  <si>
    <t>704-48-3927</t>
  </si>
  <si>
    <t>2:50:00 PM</t>
  </si>
  <si>
    <t>628-34-3388</t>
  </si>
  <si>
    <t>8:54:00 PM</t>
  </si>
  <si>
    <t>630-74-5166</t>
  </si>
  <si>
    <t>8:19:00 PM</t>
  </si>
  <si>
    <t>588-01-7461</t>
  </si>
  <si>
    <t>10:43:00 AM</t>
  </si>
  <si>
    <t>861-77-0145</t>
  </si>
  <si>
    <t>2:30:00 PM</t>
  </si>
  <si>
    <t>479-26-8945</t>
  </si>
  <si>
    <t>11:32:00 AM</t>
  </si>
  <si>
    <t>210-67-5886</t>
  </si>
  <si>
    <t>10:41:00 AM</t>
  </si>
  <si>
    <t>227-78-1148</t>
  </si>
  <si>
    <t>12:44:00 PM</t>
  </si>
  <si>
    <t>645-44-1170</t>
  </si>
  <si>
    <t>8:07:00 PM</t>
  </si>
  <si>
    <t>237-01-6122</t>
  </si>
  <si>
    <t>8:31:00 PM</t>
  </si>
  <si>
    <t>225-98-1496</t>
  </si>
  <si>
    <t>291-32-1427</t>
  </si>
  <si>
    <t>12:29:00 PM</t>
  </si>
  <si>
    <t>659-65-8956</t>
  </si>
  <si>
    <t>3:26:00 PM</t>
  </si>
  <si>
    <t>642-32-2990</t>
  </si>
  <si>
    <t>8:48:00 PM</t>
  </si>
  <si>
    <t>378-24-2715</t>
  </si>
  <si>
    <t>638-60-7125</t>
  </si>
  <si>
    <t>659-36-1684</t>
  </si>
  <si>
    <t>12:02:00 PM</t>
  </si>
  <si>
    <t>219-22-9386</t>
  </si>
  <si>
    <t>5:26:00 PM</t>
  </si>
  <si>
    <t>336-78-2147</t>
  </si>
  <si>
    <t>7:52:00 PM</t>
  </si>
  <si>
    <t>268-27-6179</t>
  </si>
  <si>
    <t>2:57:00 PM</t>
  </si>
  <si>
    <t>668-90-8900</t>
  </si>
  <si>
    <t>6:44:00 PM</t>
  </si>
  <si>
    <t>870-54-3162</t>
  </si>
  <si>
    <t>1:26:00 PM</t>
  </si>
  <si>
    <t>189-08-9157</t>
  </si>
  <si>
    <t>4:17:00 PM</t>
  </si>
  <si>
    <t>663-86-9076</t>
  </si>
  <si>
    <t>3:57:00 PM</t>
  </si>
  <si>
    <t>549-84-7482</t>
  </si>
  <si>
    <t>191-10-6171</t>
  </si>
  <si>
    <t>1:18:00 PM</t>
  </si>
  <si>
    <t>802-70-5316</t>
  </si>
  <si>
    <t>8:34:00 PM</t>
  </si>
  <si>
    <t>695-51-0018</t>
  </si>
  <si>
    <t>6:36:00 PM</t>
  </si>
  <si>
    <t>590-83-4591</t>
  </si>
  <si>
    <t>2:40:00 PM</t>
  </si>
  <si>
    <t>483-71-1164</t>
  </si>
  <si>
    <t>4:43:00 PM</t>
  </si>
  <si>
    <t>597-78-7908</t>
  </si>
  <si>
    <t>700-81-1757</t>
  </si>
  <si>
    <t>8:59:00 PM</t>
  </si>
  <si>
    <t>354-39-5160</t>
  </si>
  <si>
    <t>3:39:00 PM</t>
  </si>
  <si>
    <t>241-72-9525</t>
  </si>
  <si>
    <t>12:21:00 PM</t>
  </si>
  <si>
    <t>575-30-8091</t>
  </si>
  <si>
    <t>7:25:00 PM</t>
  </si>
  <si>
    <t>731-81-9469</t>
  </si>
  <si>
    <t>1:00:00 PM</t>
  </si>
  <si>
    <t>280-17-4359</t>
  </si>
  <si>
    <t>Male</t>
  </si>
  <si>
    <t>1:48:00 PM</t>
  </si>
  <si>
    <t>338-65-2210</t>
  </si>
  <si>
    <t>7:57:00 PM</t>
  </si>
  <si>
    <t>488-25-4221</t>
  </si>
  <si>
    <t>10:36:00 AM</t>
  </si>
  <si>
    <t>239-10-7476</t>
  </si>
  <si>
    <t>4:37:00 PM</t>
  </si>
  <si>
    <t>458-41-1477</t>
  </si>
  <si>
    <t>5:11:00 PM</t>
  </si>
  <si>
    <t>685-64-1609</t>
  </si>
  <si>
    <t>568-90-5112</t>
  </si>
  <si>
    <t>262-47-2794</t>
  </si>
  <si>
    <t>3:07:00 PM</t>
  </si>
  <si>
    <t>238-49-0436</t>
  </si>
  <si>
    <t>608-96-3517</t>
  </si>
  <si>
    <t>584-86-7256</t>
  </si>
  <si>
    <t>4:07:00 PM</t>
  </si>
  <si>
    <t>746-94-0204</t>
  </si>
  <si>
    <t>11:56:00 AM</t>
  </si>
  <si>
    <t>214-17-6927</t>
  </si>
  <si>
    <t>6:23:00 PM</t>
  </si>
  <si>
    <t>400-89-4171</t>
  </si>
  <si>
    <t>1:05:00 PM</t>
  </si>
  <si>
    <t>782-95-9291</t>
  </si>
  <si>
    <t>279-74-2924</t>
  </si>
  <si>
    <t>7:40:00 PM</t>
  </si>
  <si>
    <t>307-85-2293</t>
  </si>
  <si>
    <t>1:58:00 PM</t>
  </si>
  <si>
    <t>743-04-1105</t>
  </si>
  <si>
    <t>2:43:00 PM</t>
  </si>
  <si>
    <t>423-57-2993</t>
  </si>
  <si>
    <t>7:18:00 PM</t>
  </si>
  <si>
    <t>894-41-5205</t>
  </si>
  <si>
    <t>275-28-0149</t>
  </si>
  <si>
    <t>4:21:00 PM</t>
  </si>
  <si>
    <t>101-17-6199</t>
  </si>
  <si>
    <t>7:44:00 PM</t>
  </si>
  <si>
    <t>423-80-0988</t>
  </si>
  <si>
    <t>7:42:00 PM</t>
  </si>
  <si>
    <t>548-46-9322</t>
  </si>
  <si>
    <t>3:24:00 PM</t>
  </si>
  <si>
    <t>505-02-0892</t>
  </si>
  <si>
    <t>2:12:00 PM</t>
  </si>
  <si>
    <t>234-65-2137</t>
  </si>
  <si>
    <t>1:32:00 PM</t>
  </si>
  <si>
    <t>687-47-8271</t>
  </si>
  <si>
    <t>4:20:00 PM</t>
  </si>
  <si>
    <t>796-32-9050</t>
  </si>
  <si>
    <t>4:31:00 PM</t>
  </si>
  <si>
    <t>105-31-1824</t>
  </si>
  <si>
    <t>249-42-3782</t>
  </si>
  <si>
    <t>11:36:00 AM</t>
  </si>
  <si>
    <t>316-55-4634</t>
  </si>
  <si>
    <t>733-33-4967</t>
  </si>
  <si>
    <t>7:17:00 PM</t>
  </si>
  <si>
    <t>608-27-6295</t>
  </si>
  <si>
    <t>5:34:00 PM</t>
  </si>
  <si>
    <t>414-12-7047</t>
  </si>
  <si>
    <t>12:04:00 PM</t>
  </si>
  <si>
    <t>827-26-2100</t>
  </si>
  <si>
    <t>175-54-2529</t>
  </si>
  <si>
    <t>5:01:00 PM</t>
  </si>
  <si>
    <t>139-52-2867</t>
  </si>
  <si>
    <t>10:50:00 AM</t>
  </si>
  <si>
    <t>407-63-8975</t>
  </si>
  <si>
    <t>7:16:00 PM</t>
  </si>
  <si>
    <t>342-65-4817</t>
  </si>
  <si>
    <t>4:47:00 PM</t>
  </si>
  <si>
    <t>130-98-8941</t>
  </si>
  <si>
    <t>10:00:00 AM</t>
  </si>
  <si>
    <t>434-83-9547</t>
  </si>
  <si>
    <t>11:51:00 AM</t>
  </si>
  <si>
    <t>851-28-6367</t>
  </si>
  <si>
    <t>824-88-3614</t>
  </si>
  <si>
    <t>3:00:00 PM</t>
  </si>
  <si>
    <t>586-25-0848</t>
  </si>
  <si>
    <t>11:19:00 AM</t>
  </si>
  <si>
    <t>895-66-0685</t>
  </si>
  <si>
    <t>7:46:00 PM</t>
  </si>
  <si>
    <t>305-14-0245</t>
  </si>
  <si>
    <t>7:00:00 PM</t>
  </si>
  <si>
    <t>732-04-5373</t>
  </si>
  <si>
    <t>10:53:00 AM</t>
  </si>
  <si>
    <t>400-60-7251</t>
  </si>
  <si>
    <t>12:50:00 PM</t>
  </si>
  <si>
    <t>593-65-1552</t>
  </si>
  <si>
    <t>8:50:00 PM</t>
  </si>
  <si>
    <t>284-34-9626</t>
  </si>
  <si>
    <t>437-58-8131</t>
  </si>
  <si>
    <t>1:41:00 PM</t>
  </si>
  <si>
    <t>286-43-6208</t>
  </si>
  <si>
    <t>7:08:00 PM</t>
  </si>
  <si>
    <t>641-43-2399</t>
  </si>
  <si>
    <t>8:23:00 PM</t>
  </si>
  <si>
    <t>831-07-6050</t>
  </si>
  <si>
    <t>11:30:00 AM</t>
  </si>
  <si>
    <t>556-86-3144</t>
  </si>
  <si>
    <t>7:30:00 PM</t>
  </si>
  <si>
    <t>848-24-9445</t>
  </si>
  <si>
    <t>6:03:00 PM</t>
  </si>
  <si>
    <t>856-22-8149</t>
  </si>
  <si>
    <t>10:13:00 AM</t>
  </si>
  <si>
    <t>699-01-4164</t>
  </si>
  <si>
    <t>7:58:00 PM</t>
  </si>
  <si>
    <t>420-11-4919</t>
  </si>
  <si>
    <t>606-80-4905</t>
  </si>
  <si>
    <t>10:01:00 AM</t>
  </si>
  <si>
    <t>542-41-0513</t>
  </si>
  <si>
    <t>11:57:00 AM</t>
  </si>
  <si>
    <t>426-39-2418</t>
  </si>
  <si>
    <t>10:02:00 AM</t>
  </si>
  <si>
    <t>875-46-5808</t>
  </si>
  <si>
    <t>2:51:00 PM</t>
  </si>
  <si>
    <t>394-43-4238</t>
  </si>
  <si>
    <t>12:42:00 PM</t>
  </si>
  <si>
    <t>749-24-1565</t>
  </si>
  <si>
    <t>672-51-8681</t>
  </si>
  <si>
    <t>263-87-5680</t>
  </si>
  <si>
    <t>5:38:00 PM</t>
  </si>
  <si>
    <t>573-58-9734</t>
  </si>
  <si>
    <t>817-69-8206</t>
  </si>
  <si>
    <t>888-02-0338</t>
  </si>
  <si>
    <t>8:24:00 PM</t>
  </si>
  <si>
    <t>677-11-0152</t>
  </si>
  <si>
    <t>6:08:00 PM</t>
  </si>
  <si>
    <t>142-63-6033</t>
  </si>
  <si>
    <t>656-16-1063</t>
  </si>
  <si>
    <t>891-58-8335</t>
  </si>
  <si>
    <t>3:53:00 PM</t>
  </si>
  <si>
    <t>802-43-8934</t>
  </si>
  <si>
    <t>3:05:00 PM</t>
  </si>
  <si>
    <t>560-30-5617</t>
  </si>
  <si>
    <t>6:27:00 PM</t>
  </si>
  <si>
    <t>319-74-2561</t>
  </si>
  <si>
    <t>4:55:00 PM</t>
  </si>
  <si>
    <t>549-03-9315</t>
  </si>
  <si>
    <t>12:58:00 PM</t>
  </si>
  <si>
    <t>790-29-1172</t>
  </si>
  <si>
    <t>6:59:00 PM</t>
  </si>
  <si>
    <t>239-36-3640</t>
  </si>
  <si>
    <t>1:44:00 PM</t>
  </si>
  <si>
    <t>468-01-2051</t>
  </si>
  <si>
    <t>1:46:00 PM</t>
  </si>
  <si>
    <t>389-25-3394</t>
  </si>
  <si>
    <t>6:06:00 PM</t>
  </si>
  <si>
    <t>279-62-1445</t>
  </si>
  <si>
    <t>12:38:00 PM</t>
  </si>
  <si>
    <t>213-72-6612</t>
  </si>
  <si>
    <t>3:56:00 PM</t>
  </si>
  <si>
    <t>746-68-6593</t>
  </si>
  <si>
    <t>2:29:00 PM</t>
  </si>
  <si>
    <t>836-82-5858</t>
  </si>
  <si>
    <t>7:14:00 PM</t>
  </si>
  <si>
    <t>583-72-1480</t>
  </si>
  <si>
    <t>466-61-5506</t>
  </si>
  <si>
    <t>10:52:00 AM</t>
  </si>
  <si>
    <t>721-86-6247</t>
  </si>
  <si>
    <t>12:55:00 PM</t>
  </si>
  <si>
    <t>289-65-5721</t>
  </si>
  <si>
    <t>7:28:00 PM</t>
  </si>
  <si>
    <t>545-46-3100</t>
  </si>
  <si>
    <t>1:52:00 PM</t>
  </si>
  <si>
    <t>418-02-5978</t>
  </si>
  <si>
    <t>10:54:00 AM</t>
  </si>
  <si>
    <t>269-04-5750</t>
  </si>
  <si>
    <t>6:31:00 PM</t>
  </si>
  <si>
    <t>157-13-5295</t>
  </si>
  <si>
    <t>6:24:00 PM</t>
  </si>
  <si>
    <t>645-78-8093</t>
  </si>
  <si>
    <t>6:09:00 PM</t>
  </si>
  <si>
    <t>211-30-9270</t>
  </si>
  <si>
    <t>3:16:00 PM</t>
  </si>
  <si>
    <t>755-12-3214</t>
  </si>
  <si>
    <t>5:07:00 PM</t>
  </si>
  <si>
    <t>346-84-3103</t>
  </si>
  <si>
    <t>7:26:00 PM</t>
  </si>
  <si>
    <t>478-06-7835</t>
  </si>
  <si>
    <t>11:20:00 AM</t>
  </si>
  <si>
    <t>540-11-4336</t>
  </si>
  <si>
    <t>4:49:00 PM</t>
  </si>
  <si>
    <t>448-81-5016</t>
  </si>
  <si>
    <t>12:01:00 PM</t>
  </si>
  <si>
    <t>142-72-4741</t>
  </si>
  <si>
    <t>217-58-1179</t>
  </si>
  <si>
    <t>11:25:00 AM</t>
  </si>
  <si>
    <t>376-02-8238</t>
  </si>
  <si>
    <t>6:42:00 PM</t>
  </si>
  <si>
    <t>530-90-9855</t>
  </si>
  <si>
    <t>2:47:00 PM</t>
  </si>
  <si>
    <t>866-05-7563</t>
  </si>
  <si>
    <t>7:43:00 PM</t>
  </si>
  <si>
    <t>604-70-6476</t>
  </si>
  <si>
    <t>2:04:00 PM</t>
  </si>
  <si>
    <t>799-71-1548</t>
  </si>
  <si>
    <t>4:11:00 PM</t>
  </si>
  <si>
    <t>785-13-7708</t>
  </si>
  <si>
    <t>7:06:00 PM</t>
  </si>
  <si>
    <t>845-51-0542</t>
  </si>
  <si>
    <t>3:34:00 PM</t>
  </si>
  <si>
    <t>662-47-5456</t>
  </si>
  <si>
    <t>883-17-4236</t>
  </si>
  <si>
    <t>290-68-2984</t>
  </si>
  <si>
    <t>11:22:00 AM</t>
  </si>
  <si>
    <t>704-11-6354</t>
  </si>
  <si>
    <t>11:23:00 AM</t>
  </si>
  <si>
    <t>110-48-7033</t>
  </si>
  <si>
    <t>366-93-0948</t>
  </si>
  <si>
    <t>10:46:00 AM</t>
  </si>
  <si>
    <t>729-09-9681</t>
  </si>
  <si>
    <t>151-16-1484</t>
  </si>
  <si>
    <t>380-94-4661</t>
  </si>
  <si>
    <t>850-41-9669</t>
  </si>
  <si>
    <t>1:25:00 PM</t>
  </si>
  <si>
    <t>821-07-3596</t>
  </si>
  <si>
    <t>2:53:00 PM</t>
  </si>
  <si>
    <t>655-85-5130</t>
  </si>
  <si>
    <t>7:22:00 PM</t>
  </si>
  <si>
    <t>447-15-7839</t>
  </si>
  <si>
    <t>11:00:00 AM</t>
  </si>
  <si>
    <t>154-74-7179</t>
  </si>
  <si>
    <t>7:24:00 PM</t>
  </si>
  <si>
    <t>253-12-6086</t>
  </si>
  <si>
    <t>808-65-0703</t>
  </si>
  <si>
    <t>5:22:00 PM</t>
  </si>
  <si>
    <t>571-94-0759</t>
  </si>
  <si>
    <t>8:55:00 PM</t>
  </si>
  <si>
    <t>144-51-6085</t>
  </si>
  <si>
    <t>4:05:00 PM</t>
  </si>
  <si>
    <t>731-14-2199</t>
  </si>
  <si>
    <t>1:34:00 PM</t>
  </si>
  <si>
    <t>783-09-1637</t>
  </si>
  <si>
    <t>6:13:00 PM</t>
  </si>
  <si>
    <t>687-15-1097</t>
  </si>
  <si>
    <t>126-54-1082</t>
  </si>
  <si>
    <t>11:44:00 AM</t>
  </si>
  <si>
    <t>633-91-1052</t>
  </si>
  <si>
    <t>3:51:00 PM</t>
  </si>
  <si>
    <t>477-24-6490</t>
  </si>
  <si>
    <t>4:52:00 PM</t>
  </si>
  <si>
    <t>566-19-5475</t>
  </si>
  <si>
    <t>8:52:00 PM</t>
  </si>
  <si>
    <t>526-86-8552</t>
  </si>
  <si>
    <t>376-56-3573</t>
  </si>
  <si>
    <t>537-72-0426</t>
  </si>
  <si>
    <t>4:28:00 PM</t>
  </si>
  <si>
    <t>828-61-5674</t>
  </si>
  <si>
    <t>136-08-6195</t>
  </si>
  <si>
    <t>523-38-0215</t>
  </si>
  <si>
    <t>1:29:00 PM</t>
  </si>
  <si>
    <t>490-29-1201</t>
  </si>
  <si>
    <t>11:09:00 AM</t>
  </si>
  <si>
    <t>667-92-0055</t>
  </si>
  <si>
    <t>3:02:00 PM</t>
  </si>
  <si>
    <t>565-17-3836</t>
  </si>
  <si>
    <t>2:21:00 PM</t>
  </si>
  <si>
    <t>498-41-1961</t>
  </si>
  <si>
    <t>6:01:00 PM</t>
  </si>
  <si>
    <t>593-95-4461</t>
  </si>
  <si>
    <t>226-71-3580</t>
  </si>
  <si>
    <t>283-79-9594</t>
  </si>
  <si>
    <t>1:30:00 PM</t>
  </si>
  <si>
    <t>430-60-3493</t>
  </si>
  <si>
    <t>2:38:00 PM</t>
  </si>
  <si>
    <t>139-20-0155</t>
  </si>
  <si>
    <t>5:37:00 PM</t>
  </si>
  <si>
    <t>558-80-4082</t>
  </si>
  <si>
    <t>5:20:00 PM</t>
  </si>
  <si>
    <t>278-97-7759</t>
  </si>
  <si>
    <t>8:29:00 PM</t>
  </si>
  <si>
    <t>316-68-6352</t>
  </si>
  <si>
    <t>585-03-5943</t>
  </si>
  <si>
    <t>11:46:00 AM</t>
  </si>
  <si>
    <t>211-05-0490</t>
  </si>
  <si>
    <t>1:42:00 PM</t>
  </si>
  <si>
    <t>727-75-6477</t>
  </si>
  <si>
    <t>2:44:00 PM</t>
  </si>
  <si>
    <t>744-02-5987</t>
  </si>
  <si>
    <t>2:16:00 PM</t>
  </si>
  <si>
    <t>307-83-9164</t>
  </si>
  <si>
    <t>3:54:00 PM</t>
  </si>
  <si>
    <t>779-06-0012</t>
  </si>
  <si>
    <t>10:21:00 AM</t>
  </si>
  <si>
    <t>Invoice_ID</t>
  </si>
  <si>
    <t>Grand Total</t>
  </si>
  <si>
    <t>Sum of Sales</t>
  </si>
  <si>
    <t>Sum of gross_income</t>
  </si>
  <si>
    <t>Product Line</t>
  </si>
  <si>
    <t xml:space="preserve">     Value</t>
  </si>
  <si>
    <t xml:space="preserve"> KPI</t>
  </si>
  <si>
    <t>Customer invoice id</t>
  </si>
  <si>
    <t>PartB:- EDA in excel</t>
  </si>
  <si>
    <t>Part4:- Using pivot table analyze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</si>
</sst>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yyyy\-mm\-dd\ h:mm:ss"/>
  </numFmts>
  <fonts count="3" x14ac:knownFonts="1">
    <font>
      <sz val="11"/>
      <color theme="1"/>
      <name val="Calibri"/>
      <family val="2"/>
      <scheme val="minor"/>
    </font>
    <font>
      <b/>
      <sz val="11"/>
      <color theme="1"/>
      <name val="Calibri"/>
      <family val="2"/>
      <scheme val="minor"/>
    </font>
    <font>
      <b/>
      <sz val="18"/>
      <color theme="1"/>
      <name val="Calibri"/>
      <family val="2"/>
      <scheme val="minor"/>
    </font>
  </fonts>
  <fills count="2">
    <fill>
      <patternFill patternType="none"/>
    </fill>
    <fill>
      <patternFill patternType="gray125"/>
    </fill>
  </fills>
  <borders count="9">
    <border>
      <left/>
      <right/>
      <top/>
      <bottom/>
      <diagonal/>
    </border>
    <border>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s>
  <cellStyleXfs count="1">
    <xf numFmtId="0" fontId="0" fillId="0" borderId="0"/>
  </cellStyleXfs>
  <cellXfs count="24">
    <xf numFmtId="0" fontId="0" fillId="0" borderId="0" xfId="0"/>
    <xf numFmtId="0"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2" fontId="0" fillId="0" borderId="0" xfId="0" applyNumberFormat="1" applyAlignment="1">
      <alignment horizontal="center"/>
    </xf>
    <xf numFmtId="1" fontId="0" fillId="0" borderId="0" xfId="0" applyNumberFormat="1" applyAlignment="1">
      <alignment horizontal="center"/>
    </xf>
    <xf numFmtId="0" fontId="1" fillId="0" borderId="0" xfId="0" applyFont="1" applyAlignment="1">
      <alignment horizontal="center"/>
    </xf>
    <xf numFmtId="14" fontId="0" fillId="0" borderId="0" xfId="0" applyNumberFormat="1"/>
    <xf numFmtId="0" fontId="0" fillId="0" borderId="0" xfId="0" applyBorder="1"/>
    <xf numFmtId="2" fontId="0" fillId="0" borderId="0" xfId="0" applyNumberFormat="1" applyBorder="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pivotButton="1" applyBorder="1"/>
    <xf numFmtId="0" fontId="0" fillId="0" borderId="6" xfId="0" applyBorder="1" applyAlignment="1">
      <alignment horizontal="left"/>
    </xf>
    <xf numFmtId="0" fontId="0" fillId="0" borderId="6" xfId="0" applyBorder="1"/>
    <xf numFmtId="0" fontId="0" fillId="0" borderId="7" xfId="0" applyBorder="1"/>
    <xf numFmtId="0" fontId="0" fillId="0" borderId="8" xfId="0" applyBorder="1"/>
    <xf numFmtId="0" fontId="0" fillId="0" borderId="0" xfId="0" applyNumberFormat="1" applyBorder="1"/>
    <xf numFmtId="0" fontId="2" fillId="0" borderId="0" xfId="0" applyFont="1"/>
  </cellXfs>
  <cellStyles count="1">
    <cellStyle name="Normal" xfId="0" builtinId="0"/>
  </cellStyles>
  <dxfs count="2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border>
        <left style="medium">
          <color indexed="64"/>
        </left>
      </border>
    </dxf>
    <dxf>
      <border>
        <left style="medium">
          <color indexed="64"/>
        </left>
      </border>
    </dxf>
    <dxf>
      <border>
        <left style="medium">
          <color indexed="64"/>
        </left>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2" formatCode="0.00"/>
    </dxf>
    <dxf>
      <numFmt numFmtId="2" formatCode="0.00"/>
    </dxf>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2.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 market.xlsx]pivot table!PivotTable1</c:name>
    <c:fmtId val="0"/>
  </c:pivotSource>
  <c:chart>
    <c:title>
      <c:tx>
        <c:rich>
          <a:bodyPr rot="0" spcFirstLastPara="1" vertOverflow="ellipsis" vert="horz" wrap="square" anchor="ctr" anchorCtr="1"/>
          <a:lstStyle/>
          <a:p>
            <a:pPr>
              <a:defRPr sz="1600" b="1" i="0" u="none" strike="noStrike" kern="1200" baseline="0">
                <a:ln cmpd="dbl">
                  <a:solidFill>
                    <a:schemeClr val="tx1">
                      <a:lumMod val="95000"/>
                      <a:lumOff val="5000"/>
                    </a:schemeClr>
                  </a:solidFill>
                </a:ln>
                <a:solidFill>
                  <a:schemeClr val="tx2"/>
                </a:solidFill>
                <a:effectLst/>
                <a:latin typeface="+mn-lt"/>
                <a:ea typeface="+mn-ea"/>
                <a:cs typeface="+mn-cs"/>
              </a:defRPr>
            </a:pPr>
            <a:r>
              <a:rPr lang="en-IN"/>
              <a:t>Sales By Branch</a:t>
            </a:r>
          </a:p>
        </c:rich>
      </c:tx>
      <c:layout/>
      <c:overlay val="0"/>
      <c:spPr>
        <a:noFill/>
        <a:ln>
          <a:noFill/>
        </a:ln>
        <a:effectLst/>
      </c:spPr>
      <c:txPr>
        <a:bodyPr rot="0" spcFirstLastPara="1" vertOverflow="ellipsis" vert="horz" wrap="square" anchor="ctr" anchorCtr="1"/>
        <a:lstStyle/>
        <a:p>
          <a:pPr>
            <a:defRPr sz="1600" b="1" i="0" u="none" strike="noStrike" kern="1200" baseline="0">
              <a:ln cmpd="dbl">
                <a:solidFill>
                  <a:schemeClr val="tx1">
                    <a:lumMod val="95000"/>
                    <a:lumOff val="5000"/>
                  </a:schemeClr>
                </a:solidFill>
              </a:ln>
              <a:solidFill>
                <a:schemeClr val="tx2"/>
              </a:solidFill>
              <a:effectLst/>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cmpd="dbl">
                    <a:solidFill>
                      <a:schemeClr val="tx1">
                        <a:lumMod val="95000"/>
                        <a:lumOff val="5000"/>
                      </a:schemeClr>
                    </a:solidFill>
                  </a:ln>
                  <a:solidFill>
                    <a:schemeClr val="tx2"/>
                  </a:solidFill>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 table'!$A$4:$A$7</c:f>
              <c:strCache>
                <c:ptCount val="3"/>
                <c:pt idx="0">
                  <c:v>Alex</c:v>
                </c:pt>
                <c:pt idx="1">
                  <c:v>Cairo</c:v>
                </c:pt>
                <c:pt idx="2">
                  <c:v>Giza</c:v>
                </c:pt>
              </c:strCache>
            </c:strRef>
          </c:cat>
          <c:val>
            <c:numRef>
              <c:f>'pivot table'!$B$4:$B$7</c:f>
              <c:numCache>
                <c:formatCode>0.00</c:formatCode>
                <c:ptCount val="3"/>
                <c:pt idx="0">
                  <c:v>35070.724500000004</c:v>
                </c:pt>
                <c:pt idx="1">
                  <c:v>34097.038499999995</c:v>
                </c:pt>
                <c:pt idx="2">
                  <c:v>36102.034499999994</c:v>
                </c:pt>
              </c:numCache>
            </c:numRef>
          </c:val>
        </c:ser>
        <c:dLbls>
          <c:showLegendKey val="0"/>
          <c:showVal val="0"/>
          <c:showCatName val="0"/>
          <c:showSerName val="0"/>
          <c:showPercent val="0"/>
          <c:showBubbleSize val="0"/>
        </c:dLbls>
        <c:gapWidth val="100"/>
        <c:overlap val="-24"/>
        <c:axId val="-1207265216"/>
        <c:axId val="-1207278816"/>
      </c:barChart>
      <c:catAx>
        <c:axId val="-12072652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cmpd="dbl">
                  <a:solidFill>
                    <a:schemeClr val="tx1">
                      <a:lumMod val="95000"/>
                      <a:lumOff val="5000"/>
                    </a:schemeClr>
                  </a:solidFill>
                </a:ln>
                <a:solidFill>
                  <a:schemeClr val="tx2"/>
                </a:solidFill>
                <a:effectLst/>
                <a:latin typeface="+mn-lt"/>
                <a:ea typeface="+mn-ea"/>
                <a:cs typeface="+mn-cs"/>
              </a:defRPr>
            </a:pPr>
            <a:endParaRPr lang="en-US"/>
          </a:p>
        </c:txPr>
        <c:crossAx val="-1207278816"/>
        <c:crosses val="autoZero"/>
        <c:auto val="1"/>
        <c:lblAlgn val="ctr"/>
        <c:lblOffset val="100"/>
        <c:noMultiLvlLbl val="0"/>
      </c:catAx>
      <c:valAx>
        <c:axId val="-1207278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cmpd="dbl">
                  <a:solidFill>
                    <a:schemeClr val="tx1">
                      <a:lumMod val="95000"/>
                      <a:lumOff val="5000"/>
                    </a:schemeClr>
                  </a:solidFill>
                </a:ln>
                <a:solidFill>
                  <a:schemeClr val="tx2"/>
                </a:solidFill>
                <a:effectLst/>
                <a:latin typeface="+mn-lt"/>
                <a:ea typeface="+mn-ea"/>
                <a:cs typeface="+mn-cs"/>
              </a:defRPr>
            </a:pPr>
            <a:endParaRPr lang="en-US"/>
          </a:p>
        </c:txPr>
        <c:crossAx val="-12072652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ln cmpd="dbl">
                <a:solidFill>
                  <a:schemeClr val="tx1">
                    <a:lumMod val="95000"/>
                    <a:lumOff val="5000"/>
                  </a:schemeClr>
                </a:solidFill>
              </a:ln>
              <a:solidFill>
                <a:schemeClr val="tx2"/>
              </a:solidFill>
              <a:effectLst/>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n cmpd="dbl">
            <a:solidFill>
              <a:schemeClr val="tx1">
                <a:lumMod val="95000"/>
                <a:lumOff val="5000"/>
              </a:schemeClr>
            </a:solidFill>
          </a:ln>
          <a:solidFill>
            <a:schemeClr val="tx2"/>
          </a:solidFill>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1" i="0" u="none" strike="noStrike" kern="1200" baseline="0">
                <a:ln>
                  <a:solidFill>
                    <a:schemeClr val="tx1">
                      <a:lumMod val="95000"/>
                      <a:lumOff val="5000"/>
                    </a:schemeClr>
                  </a:solidFill>
                </a:ln>
                <a:solidFill>
                  <a:schemeClr val="tx1">
                    <a:lumMod val="95000"/>
                    <a:lumOff val="5000"/>
                  </a:schemeClr>
                </a:solidFill>
                <a:effectLst/>
                <a:latin typeface="+mn-lt"/>
                <a:ea typeface="+mn-ea"/>
                <a:cs typeface="+mn-cs"/>
              </a:defRPr>
            </a:pPr>
            <a:r>
              <a:rPr lang="en-US"/>
              <a:t>Profit by Category</a:t>
            </a:r>
          </a:p>
        </c:rich>
      </c:tx>
      <c:layout/>
      <c:overlay val="0"/>
      <c:spPr>
        <a:noFill/>
        <a:ln>
          <a:noFill/>
        </a:ln>
        <a:effectLst/>
      </c:spPr>
      <c:txPr>
        <a:bodyPr rot="0" spcFirstLastPara="1" vertOverflow="ellipsis" vert="horz" wrap="square" anchor="ctr" anchorCtr="1"/>
        <a:lstStyle/>
        <a:p>
          <a:pPr>
            <a:defRPr sz="1600" b="1" i="0" u="none" strike="noStrike" kern="1200" baseline="0">
              <a:ln>
                <a:solidFill>
                  <a:schemeClr val="tx1">
                    <a:lumMod val="95000"/>
                    <a:lumOff val="5000"/>
                  </a:schemeClr>
                </a:solidFill>
              </a:ln>
              <a:solidFill>
                <a:schemeClr val="tx1">
                  <a:lumMod val="95000"/>
                  <a:lumOff val="5000"/>
                </a:schemeClr>
              </a:solidFill>
              <a:effectLst/>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innerShdw blurRad="114300">
              <a:schemeClr val="accent3"/>
            </a:innerShdw>
          </a:effectLst>
          <a:scene3d>
            <a:camera prst="orthographicFront">
              <a:rot lat="0" lon="0" rev="0"/>
            </a:camera>
            <a:lightRig rig="threePt" dir="t">
              <a:rot lat="0" lon="0" rev="1200000"/>
            </a:lightRig>
          </a:scene3d>
          <a:sp3d>
            <a:bevelT w="63500" h="25400"/>
          </a:sp3d>
        </c:spPr>
        <c:marker>
          <c:symbol val="none"/>
        </c:marker>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innerShdw blurRad="114300">
              <a:schemeClr val="accent3"/>
            </a:innerShdw>
          </a:effectLst>
          <a:scene3d>
            <a:camera prst="orthographicFront">
              <a:rot lat="0" lon="0" rev="0"/>
            </a:camera>
            <a:lightRig rig="threePt" dir="t">
              <a:rot lat="0" lon="0" rev="1200000"/>
            </a:lightRig>
          </a:scene3d>
          <a:sp3d>
            <a:bevelT w="63500" h="25400"/>
          </a:sp3d>
        </c:spPr>
        <c:marker>
          <c:symbol val="none"/>
        </c:marker>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v>Total</c:v>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Lit>
              <c:ptCount val="6"/>
              <c:pt idx="0">
                <c:v>Electronic accessories</c:v>
              </c:pt>
              <c:pt idx="1">
                <c:v>Fashion accessories</c:v>
              </c:pt>
              <c:pt idx="2">
                <c:v>Food and beverages</c:v>
              </c:pt>
              <c:pt idx="3">
                <c:v>Health and beauty</c:v>
              </c:pt>
              <c:pt idx="4">
                <c:v>Home and lifestyle</c:v>
              </c:pt>
              <c:pt idx="5">
                <c:v>Sports and travel</c:v>
              </c:pt>
            </c:strLit>
          </c:cat>
          <c:val>
            <c:numLit>
              <c:formatCode>General</c:formatCode>
              <c:ptCount val="6"/>
              <c:pt idx="0">
                <c:v>779.50300000000004</c:v>
              </c:pt>
              <c:pt idx="1">
                <c:v>704.51649999999984</c:v>
              </c:pt>
              <c:pt idx="2">
                <c:v>816.78950000000009</c:v>
              </c:pt>
              <c:pt idx="3">
                <c:v>907.4425</c:v>
              </c:pt>
              <c:pt idx="4">
                <c:v>917.94950000000006</c:v>
              </c:pt>
              <c:pt idx="5">
                <c:v>886.64649999999995</c:v>
              </c:pt>
            </c:numLit>
          </c:val>
        </c:ser>
        <c:dLbls>
          <c:showLegendKey val="0"/>
          <c:showVal val="0"/>
          <c:showCatName val="0"/>
          <c:showSerName val="0"/>
          <c:showPercent val="0"/>
          <c:showBubbleSize val="0"/>
        </c:dLbls>
        <c:gapWidth val="100"/>
        <c:overlap val="-24"/>
        <c:axId val="-1021123936"/>
        <c:axId val="-1021121216"/>
      </c:barChart>
      <c:catAx>
        <c:axId val="-10211239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lumMod val="95000"/>
                    <a:lumOff val="5000"/>
                  </a:schemeClr>
                </a:solidFill>
                <a:effectLst/>
                <a:latin typeface="+mn-lt"/>
                <a:ea typeface="+mn-ea"/>
                <a:cs typeface="+mn-cs"/>
              </a:defRPr>
            </a:pPr>
            <a:endParaRPr lang="en-US"/>
          </a:p>
        </c:txPr>
        <c:crossAx val="-1021121216"/>
        <c:crosses val="autoZero"/>
        <c:auto val="1"/>
        <c:lblAlgn val="ctr"/>
        <c:lblOffset val="100"/>
        <c:noMultiLvlLbl val="0"/>
      </c:catAx>
      <c:valAx>
        <c:axId val="-1021121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lumMod val="95000"/>
                    <a:lumOff val="5000"/>
                  </a:schemeClr>
                </a:solidFill>
                <a:effectLst/>
                <a:latin typeface="+mn-lt"/>
                <a:ea typeface="+mn-ea"/>
                <a:cs typeface="+mn-cs"/>
              </a:defRPr>
            </a:pPr>
            <a:endParaRPr lang="en-US"/>
          </a:p>
        </c:txPr>
        <c:crossAx val="-1021123936"/>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ln>
                <a:solidFill>
                  <a:schemeClr val="tx1">
                    <a:lumMod val="95000"/>
                    <a:lumOff val="5000"/>
                  </a:schemeClr>
                </a:solidFill>
              </a:ln>
              <a:solidFill>
                <a:schemeClr val="tx1">
                  <a:lumMod val="95000"/>
                  <a:lumOff val="5000"/>
                </a:schemeClr>
              </a:solidFill>
              <a:effectLst/>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n>
            <a:solidFill>
              <a:schemeClr val="tx1">
                <a:lumMod val="95000"/>
                <a:lumOff val="5000"/>
              </a:schemeClr>
            </a:solidFill>
          </a:ln>
          <a:solidFill>
            <a:schemeClr val="tx1">
              <a:lumMod val="95000"/>
              <a:lumOff val="5000"/>
            </a:schemeClr>
          </a:solidFill>
          <a:effectLst/>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 by Month</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5"/>
            </a:solidFill>
            <a:miter lim="800000"/>
          </a:ln>
          <a:effectLst>
            <a:glow rad="63500">
              <a:schemeClr val="accent5">
                <a:satMod val="175000"/>
                <a:alpha val="25000"/>
              </a:schemeClr>
            </a:glow>
          </a:effectLst>
        </c:spPr>
        <c:marker>
          <c:symbol val="circle"/>
          <c:size val="6"/>
          <c:spPr>
            <a:solidFill>
              <a:schemeClr val="accent5">
                <a:lumMod val="60000"/>
                <a:lumOff val="40000"/>
              </a:schemeClr>
            </a:solidFill>
            <a:ln>
              <a:noFill/>
            </a:ln>
            <a:effectLst>
              <a:glow rad="63500">
                <a:schemeClr val="accent5">
                  <a:satMod val="175000"/>
                  <a:alpha val="25000"/>
                </a:schemeClr>
              </a:glow>
            </a:effectLst>
            <a:scene3d>
              <a:camera prst="orthographicFront">
                <a:rot lat="0" lon="0" rev="0"/>
              </a:camera>
              <a:lightRig rig="threePt" dir="t">
                <a:rot lat="0" lon="0" rev="1200000"/>
              </a:lightRig>
            </a:scene3d>
            <a:sp3d>
              <a:bevelT w="63500" h="25400"/>
            </a:sp3d>
          </c:spPr>
        </c:marker>
      </c:pivotFmt>
      <c:pivotFmt>
        <c:idx val="1"/>
        <c:spPr>
          <a:noFill/>
          <a:ln w="9525" cap="flat" cmpd="sng" algn="ctr">
            <a:solidFill>
              <a:schemeClr val="accent5"/>
            </a:solidFill>
            <a:miter lim="800000"/>
          </a:ln>
          <a:effectLst>
            <a:glow rad="63500">
              <a:schemeClr val="accent5">
                <a:satMod val="175000"/>
                <a:alpha val="25000"/>
              </a:schemeClr>
            </a:glow>
          </a:effectLst>
        </c:spPr>
        <c:marker>
          <c:symbol val="circle"/>
          <c:size val="6"/>
          <c:spPr>
            <a:solidFill>
              <a:schemeClr val="accent5">
                <a:lumMod val="60000"/>
                <a:lumOff val="40000"/>
              </a:schemeClr>
            </a:solidFill>
            <a:ln>
              <a:noFill/>
            </a:ln>
            <a:effectLst>
              <a:glow rad="63500">
                <a:schemeClr val="accent5">
                  <a:satMod val="175000"/>
                  <a:alpha val="25000"/>
                </a:schemeClr>
              </a:glow>
            </a:effectLst>
            <a:scene3d>
              <a:camera prst="orthographicFront">
                <a:rot lat="0" lon="0" rev="0"/>
              </a:camera>
              <a:lightRig rig="threePt" dir="t">
                <a:rot lat="0" lon="0" rev="1200000"/>
              </a:lightRig>
            </a:scene3d>
            <a:sp3d>
              <a:bevelT w="63500" h="25400"/>
            </a:sp3d>
          </c:spPr>
        </c:marker>
      </c:pivotFmt>
      <c:pivotFmt>
        <c:idx val="2"/>
        <c:spPr>
          <a:noFill/>
          <a:ln w="9525" cap="flat" cmpd="sng" algn="ctr">
            <a:solidFill>
              <a:schemeClr val="accent5"/>
            </a:solidFill>
            <a:miter lim="800000"/>
          </a:ln>
          <a:effectLst>
            <a:glow rad="63500">
              <a:schemeClr val="accent5">
                <a:satMod val="175000"/>
                <a:alpha val="25000"/>
              </a:schemeClr>
            </a:glow>
          </a:effectLst>
        </c:spPr>
        <c:marker>
          <c:symbol val="circle"/>
          <c:size val="6"/>
          <c:spPr>
            <a:solidFill>
              <a:schemeClr val="accent5">
                <a:lumMod val="60000"/>
                <a:lumOff val="40000"/>
              </a:schemeClr>
            </a:solidFill>
            <a:ln>
              <a:noFill/>
            </a:ln>
            <a:effectLst>
              <a:glow rad="63500">
                <a:schemeClr val="accent5">
                  <a:satMod val="175000"/>
                  <a:alpha val="25000"/>
                </a:schemeClr>
              </a:glo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0"/>
        <c:ser>
          <c:idx val="0"/>
          <c:order val="0"/>
          <c:tx>
            <c:v>Total</c:v>
          </c:tx>
          <c:spPr>
            <a:ln w="22225" cap="rnd">
              <a:solidFill>
                <a:schemeClr val="accent5"/>
              </a:solidFill>
            </a:ln>
            <a:effectLst>
              <a:glow rad="139700">
                <a:schemeClr val="accent5">
                  <a:satMod val="175000"/>
                  <a:alpha val="14000"/>
                </a:schemeClr>
              </a:glow>
            </a:effectLst>
          </c:spPr>
          <c:marker>
            <c:symbol val="none"/>
          </c:marker>
          <c:cat>
            <c:strLit>
              <c:ptCount val="3"/>
              <c:pt idx="0">
                <c:v>January</c:v>
              </c:pt>
              <c:pt idx="1">
                <c:v>February</c:v>
              </c:pt>
              <c:pt idx="2">
                <c:v>March</c:v>
              </c:pt>
            </c:strLit>
          </c:cat>
          <c:val>
            <c:numLit>
              <c:formatCode>General</c:formatCode>
              <c:ptCount val="3"/>
              <c:pt idx="0">
                <c:v>35627.203500000018</c:v>
              </c:pt>
              <c:pt idx="1">
                <c:v>30612.445500000002</c:v>
              </c:pt>
              <c:pt idx="2">
                <c:v>39030.148499999988</c:v>
              </c:pt>
            </c:numLit>
          </c:val>
          <c:smooth val="0"/>
        </c:ser>
        <c:dLbls>
          <c:showLegendKey val="0"/>
          <c:showVal val="0"/>
          <c:showCatName val="0"/>
          <c:showSerName val="0"/>
          <c:showPercent val="0"/>
          <c:showBubbleSize val="0"/>
        </c:dLbls>
        <c:smooth val="0"/>
        <c:axId val="-1087457936"/>
        <c:axId val="-1087457392"/>
      </c:lineChart>
      <c:catAx>
        <c:axId val="-108745793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7457392"/>
        <c:crosses val="autoZero"/>
        <c:auto val="1"/>
        <c:lblAlgn val="ctr"/>
        <c:lblOffset val="100"/>
        <c:noMultiLvlLbl val="0"/>
      </c:catAx>
      <c:valAx>
        <c:axId val="-10874573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7457936"/>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 market.xlsx]Sheet4!PivotTable4</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5 Products</a:t>
            </a:r>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noFill/>
          <a:ln w="9525" cap="flat" cmpd="sng" algn="ctr">
            <a:solidFill>
              <a:schemeClr val="accent5"/>
            </a:solidFill>
            <a:miter lim="800000"/>
          </a:ln>
          <a:effectLst>
            <a:glow rad="63500">
              <a:schemeClr val="accent5">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41473733693735"/>
          <c:y val="0.306988553514144"/>
          <c:w val="0.82931305228637464"/>
          <c:h val="0.47559091571886847"/>
        </c:manualLayout>
      </c:layout>
      <c:barChart>
        <c:barDir val="col"/>
        <c:grouping val="clustered"/>
        <c:varyColors val="0"/>
        <c:ser>
          <c:idx val="0"/>
          <c:order val="0"/>
          <c:tx>
            <c:strRef>
              <c:f>Sheet4!$B$3</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Sheet4!$A$4:$A$9</c:f>
              <c:strCache>
                <c:ptCount val="5"/>
                <c:pt idx="0">
                  <c:v>Home and lifestyle</c:v>
                </c:pt>
                <c:pt idx="1">
                  <c:v>Health and beauty</c:v>
                </c:pt>
                <c:pt idx="2">
                  <c:v>Food and beverages</c:v>
                </c:pt>
                <c:pt idx="3">
                  <c:v>Electronic accessories</c:v>
                </c:pt>
                <c:pt idx="4">
                  <c:v>Fashion accessories</c:v>
                </c:pt>
              </c:strCache>
            </c:strRef>
          </c:cat>
          <c:val>
            <c:numRef>
              <c:f>Sheet4!$B$4:$B$9</c:f>
              <c:numCache>
                <c:formatCode>0.00</c:formatCode>
                <c:ptCount val="5"/>
                <c:pt idx="0">
                  <c:v>19276.9395</c:v>
                </c:pt>
                <c:pt idx="1">
                  <c:v>19056.2925</c:v>
                </c:pt>
                <c:pt idx="2">
                  <c:v>17152.579500000003</c:v>
                </c:pt>
                <c:pt idx="3">
                  <c:v>16369.563000000002</c:v>
                </c:pt>
                <c:pt idx="4">
                  <c:v>14794.846499999998</c:v>
                </c:pt>
              </c:numCache>
            </c:numRef>
          </c:val>
        </c:ser>
        <c:dLbls>
          <c:showLegendKey val="0"/>
          <c:showVal val="0"/>
          <c:showCatName val="0"/>
          <c:showSerName val="0"/>
          <c:showPercent val="0"/>
          <c:showBubbleSize val="0"/>
        </c:dLbls>
        <c:gapWidth val="315"/>
        <c:overlap val="-40"/>
        <c:axId val="-1088293552"/>
        <c:axId val="-1088292464"/>
      </c:barChart>
      <c:catAx>
        <c:axId val="-10882935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8292464"/>
        <c:crosses val="autoZero"/>
        <c:auto val="1"/>
        <c:lblAlgn val="ctr"/>
        <c:lblOffset val="100"/>
        <c:noMultiLvlLbl val="0"/>
      </c:catAx>
      <c:valAx>
        <c:axId val="-10882924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88293552"/>
        <c:crosses val="autoZero"/>
        <c:crossBetween val="between"/>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[super market.xlsx]pivot table!PivotTable8</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Top 10 Customer</a:t>
            </a:r>
          </a:p>
          <a:p>
            <a:pPr>
              <a:defRPr/>
            </a:pPr>
            <a:endParaRPr lang="en-US"/>
          </a:p>
        </c:rich>
      </c:tx>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2"/>
        <c:spPr>
          <a:noFill/>
          <a:ln w="9525" cap="flat" cmpd="sng" algn="ctr">
            <a:solidFill>
              <a:schemeClr val="accent5"/>
            </a:solidFill>
            <a:miter lim="800000"/>
          </a:ln>
          <a:effectLst>
            <a:glow rad="63500">
              <a:schemeClr val="accent5">
                <a:satMod val="175000"/>
                <a:alpha val="25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table'!$B$78</c:f>
              <c:strCache>
                <c:ptCount val="1"/>
                <c:pt idx="0">
                  <c:v>Total</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'pivot table'!$A$79:$A$89</c:f>
              <c:strCache>
                <c:ptCount val="10"/>
                <c:pt idx="0">
                  <c:v>687-47-8271</c:v>
                </c:pt>
                <c:pt idx="1">
                  <c:v>234-65-2137</c:v>
                </c:pt>
                <c:pt idx="2">
                  <c:v>280-17-4359</c:v>
                </c:pt>
                <c:pt idx="3">
                  <c:v>219-22-9386</c:v>
                </c:pt>
                <c:pt idx="4">
                  <c:v>731-81-9469</c:v>
                </c:pt>
                <c:pt idx="5">
                  <c:v>817-69-8206</c:v>
                </c:pt>
                <c:pt idx="6">
                  <c:v>393-65-2792</c:v>
                </c:pt>
                <c:pt idx="7">
                  <c:v>704-48-3927</c:v>
                </c:pt>
                <c:pt idx="8">
                  <c:v>766-85-7061</c:v>
                </c:pt>
                <c:pt idx="9">
                  <c:v>743-04-1105</c:v>
                </c:pt>
              </c:strCache>
            </c:strRef>
          </c:cat>
          <c:val>
            <c:numRef>
              <c:f>'pivot table'!$B$79:$B$89</c:f>
              <c:numCache>
                <c:formatCode>General</c:formatCode>
                <c:ptCount val="10"/>
                <c:pt idx="0">
                  <c:v>1039.29</c:v>
                </c:pt>
                <c:pt idx="1">
                  <c:v>1003.59</c:v>
                </c:pt>
                <c:pt idx="2">
                  <c:v>950.25</c:v>
                </c:pt>
                <c:pt idx="3">
                  <c:v>944.62199999999996</c:v>
                </c:pt>
                <c:pt idx="4">
                  <c:v>942.9</c:v>
                </c:pt>
                <c:pt idx="5">
                  <c:v>942.44849999999997</c:v>
                </c:pt>
                <c:pt idx="6">
                  <c:v>939.54</c:v>
                </c:pt>
                <c:pt idx="7">
                  <c:v>931.03499999999997</c:v>
                </c:pt>
                <c:pt idx="8">
                  <c:v>922.63499999999999</c:v>
                </c:pt>
                <c:pt idx="9">
                  <c:v>918.72900000000004</c:v>
                </c:pt>
              </c:numCache>
            </c:numRef>
          </c:val>
        </c:ser>
        <c:dLbls>
          <c:showLegendKey val="0"/>
          <c:showVal val="0"/>
          <c:showCatName val="0"/>
          <c:showSerName val="0"/>
          <c:showPercent val="0"/>
          <c:showBubbleSize val="0"/>
        </c:dLbls>
        <c:gapWidth val="315"/>
        <c:overlap val="-40"/>
        <c:axId val="-1011223952"/>
        <c:axId val="-1011229936"/>
      </c:barChart>
      <c:catAx>
        <c:axId val="-101122395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1229936"/>
        <c:crosses val="autoZero"/>
        <c:auto val="1"/>
        <c:lblAlgn val="ctr"/>
        <c:lblOffset val="100"/>
        <c:noMultiLvlLbl val="0"/>
      </c:catAx>
      <c:valAx>
        <c:axId val="-101122993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12239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[super market.xlsx]Sheet4!PivotTable4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5 Products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pivotFmt>
    </c:pivotFmts>
    <c:plotArea>
      <c:layout/>
      <c:barChart>
        <c:barDir val="col"/>
        <c:grouping val="clustered"/>
        <c:varyColors val="0"/>
        <c:ser>
          <c:idx val="0"/>
          <c:order val="0"/>
          <c:tx>
            <c:strRef>
              <c:f>Sheet4!$B$3</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invertIfNegative val="0"/>
          <c:cat>
            <c:strRef>
              <c:f>Sheet4!$A$4:$A$9</c:f>
              <c:strCache>
                <c:ptCount val="5"/>
                <c:pt idx="0">
                  <c:v>Home and lifestyle</c:v>
                </c:pt>
                <c:pt idx="1">
                  <c:v>Health and beauty</c:v>
                </c:pt>
                <c:pt idx="2">
                  <c:v>Food and beverages</c:v>
                </c:pt>
                <c:pt idx="3">
                  <c:v>Electronic accessories</c:v>
                </c:pt>
                <c:pt idx="4">
                  <c:v>Fashion accessories</c:v>
                </c:pt>
              </c:strCache>
            </c:strRef>
          </c:cat>
          <c:val>
            <c:numRef>
              <c:f>Sheet4!$B$4:$B$9</c:f>
              <c:numCache>
                <c:formatCode>0.00</c:formatCode>
                <c:ptCount val="5"/>
                <c:pt idx="0">
                  <c:v>19276.9395</c:v>
                </c:pt>
                <c:pt idx="1">
                  <c:v>19056.2925</c:v>
                </c:pt>
                <c:pt idx="2">
                  <c:v>17152.579500000003</c:v>
                </c:pt>
                <c:pt idx="3">
                  <c:v>16369.563000000002</c:v>
                </c:pt>
                <c:pt idx="4">
                  <c:v>14794.846499999998</c:v>
                </c:pt>
              </c:numCache>
            </c:numRef>
          </c:val>
        </c:ser>
        <c:dLbls>
          <c:showLegendKey val="0"/>
          <c:showVal val="0"/>
          <c:showCatName val="0"/>
          <c:showSerName val="0"/>
          <c:showPercent val="0"/>
          <c:showBubbleSize val="0"/>
        </c:dLbls>
        <c:gapWidth val="100"/>
        <c:overlap val="-24"/>
        <c:axId val="-1152175312"/>
        <c:axId val="-1152174768"/>
      </c:barChart>
      <c:catAx>
        <c:axId val="-115217531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52174768"/>
        <c:crosses val="autoZero"/>
        <c:auto val="1"/>
        <c:lblAlgn val="ctr"/>
        <c:lblOffset val="100"/>
        <c:noMultiLvlLbl val="0"/>
      </c:catAx>
      <c:valAx>
        <c:axId val="-1152174768"/>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5217531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590550</xdr:colOff>
      <xdr:row>2</xdr:row>
      <xdr:rowOff>0</xdr:rowOff>
    </xdr:from>
    <xdr:to>
      <xdr:col>10</xdr:col>
      <xdr:colOff>285750</xdr:colOff>
      <xdr:row>16</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20</xdr:row>
      <xdr:rowOff>161925</xdr:rowOff>
    </xdr:from>
    <xdr:to>
      <xdr:col>10</xdr:col>
      <xdr:colOff>304800</xdr:colOff>
      <xdr:row>35</xdr:row>
      <xdr:rowOff>47625</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581025</xdr:colOff>
      <xdr:row>40</xdr:row>
      <xdr:rowOff>0</xdr:rowOff>
    </xdr:from>
    <xdr:to>
      <xdr:col>10</xdr:col>
      <xdr:colOff>276225</xdr:colOff>
      <xdr:row>54</xdr:row>
      <xdr:rowOff>76200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9525</xdr:colOff>
      <xdr:row>59</xdr:row>
      <xdr:rowOff>0</xdr:rowOff>
    </xdr:from>
    <xdr:to>
      <xdr:col>10</xdr:col>
      <xdr:colOff>209550</xdr:colOff>
      <xdr:row>73</xdr:row>
      <xdr:rowOff>76200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452437</xdr:colOff>
      <xdr:row>77</xdr:row>
      <xdr:rowOff>4762</xdr:rowOff>
    </xdr:from>
    <xdr:to>
      <xdr:col>10</xdr:col>
      <xdr:colOff>214312</xdr:colOff>
      <xdr:row>91</xdr:row>
      <xdr:rowOff>80962</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19050</xdr:colOff>
      <xdr:row>8</xdr:row>
      <xdr:rowOff>171450</xdr:rowOff>
    </xdr:from>
    <xdr:to>
      <xdr:col>18</xdr:col>
      <xdr:colOff>523875</xdr:colOff>
      <xdr:row>16</xdr:row>
      <xdr:rowOff>190500</xdr:rowOff>
    </xdr:to>
    <xdr:sp macro="" textlink="">
      <xdr:nvSpPr>
        <xdr:cNvPr id="10" name="TextBox 9"/>
        <xdr:cNvSpPr txBox="1"/>
      </xdr:nvSpPr>
      <xdr:spPr>
        <a:xfrm>
          <a:off x="6553200" y="1704975"/>
          <a:ext cx="3838575" cy="1543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b="1">
              <a:ln>
                <a:noFill/>
              </a:ln>
              <a:solidFill>
                <a:schemeClr val="dk1"/>
              </a:solidFill>
              <a:effectLst>
                <a:innerShdw blurRad="63500" dist="50800" dir="18900000">
                  <a:schemeClr val="accent5">
                    <a:lumMod val="75000"/>
                    <a:alpha val="50000"/>
                  </a:schemeClr>
                </a:innerShdw>
              </a:effectLst>
              <a:latin typeface="+mn-lt"/>
              <a:cs typeface="Arial" panose="020B0604020202020204" pitchFamily="34" charset="0"/>
            </a:rPr>
            <a:t>1️.Sales by Branch</a:t>
          </a:r>
        </a:p>
        <a:p>
          <a:pPr algn="ctr"/>
          <a:endParaRPr lang="en-IN" b="1">
            <a:ln>
              <a:noFill/>
            </a:ln>
            <a:solidFill>
              <a:schemeClr val="dk1"/>
            </a:solidFill>
            <a:effectLst>
              <a:innerShdw blurRad="63500" dist="50800" dir="18900000">
                <a:schemeClr val="accent5">
                  <a:lumMod val="75000"/>
                  <a:alpha val="50000"/>
                </a:schemeClr>
              </a:innerShdw>
            </a:effectLst>
            <a:latin typeface="+mn-lt"/>
            <a:cs typeface="Arial" panose="020B0604020202020204" pitchFamily="34" charset="0"/>
          </a:endParaRPr>
        </a:p>
        <a:p>
          <a:pPr algn="ctr"/>
          <a:r>
            <a:rPr lang="en-IN" b="1">
              <a:ln>
                <a:noFill/>
              </a:ln>
              <a:solidFill>
                <a:schemeClr val="dk1"/>
              </a:solidFill>
              <a:effectLst>
                <a:innerShdw blurRad="63500" dist="50800" dir="18900000">
                  <a:schemeClr val="accent5">
                    <a:lumMod val="75000"/>
                    <a:alpha val="50000"/>
                  </a:schemeClr>
                </a:innerShdw>
              </a:effectLst>
              <a:latin typeface="+mn-lt"/>
              <a:cs typeface="Arial" panose="020B0604020202020204" pitchFamily="34" charset="0"/>
            </a:rPr>
            <a:t>Branch-wise sales analysis shows that Giza branch generated the highest sales (36,102.03), followed by Alex (35,070.72) and Cairo (34,097.04). This indicates that Giza branch had the strongest sales performance and contributed the largest share of revenue.</a:t>
          </a:r>
        </a:p>
        <a:p>
          <a:endParaRPr lang="en-IN" sz="1100">
            <a:ln>
              <a:noFill/>
            </a:ln>
            <a:solidFill>
              <a:schemeClr val="dk1"/>
            </a:solidFill>
            <a:effectLst>
              <a:innerShdw blurRad="63500" dist="50800" dir="18900000">
                <a:schemeClr val="accent5">
                  <a:lumMod val="75000"/>
                  <a:alpha val="50000"/>
                </a:schemeClr>
              </a:innerShdw>
            </a:effectLst>
          </a:endParaRPr>
        </a:p>
      </xdr:txBody>
    </xdr:sp>
    <xdr:clientData/>
  </xdr:twoCellAnchor>
  <xdr:twoCellAnchor>
    <xdr:from>
      <xdr:col>11</xdr:col>
      <xdr:colOff>9525</xdr:colOff>
      <xdr:row>28</xdr:row>
      <xdr:rowOff>1</xdr:rowOff>
    </xdr:from>
    <xdr:to>
      <xdr:col>19</xdr:col>
      <xdr:colOff>9525</xdr:colOff>
      <xdr:row>35</xdr:row>
      <xdr:rowOff>190501</xdr:rowOff>
    </xdr:to>
    <xdr:sp macro="" textlink="">
      <xdr:nvSpPr>
        <xdr:cNvPr id="11" name="TextBox 10"/>
        <xdr:cNvSpPr txBox="1"/>
      </xdr:nvSpPr>
      <xdr:spPr>
        <a:xfrm>
          <a:off x="6543675" y="5362576"/>
          <a:ext cx="3867150" cy="152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b="1"/>
            <a:t>2️.Profit by Category</a:t>
          </a:r>
        </a:p>
        <a:p>
          <a:pPr algn="ctr"/>
          <a:endParaRPr lang="en-IN" b="1"/>
        </a:p>
        <a:p>
          <a:pPr algn="ctr"/>
          <a:r>
            <a:rPr lang="en-IN" b="1"/>
            <a:t>Profit by category analysis shows that Home and Lifestyle generated the highest profit (917.95), followed closely by Health and Beauty (907.44) and Sports and Travel (886.65). This suggests these categories contribute more effectively to profitability.</a:t>
          </a:r>
        </a:p>
        <a:p>
          <a:pPr algn="ctr"/>
          <a:endParaRPr lang="en-IN" sz="1100" b="1"/>
        </a:p>
      </xdr:txBody>
    </xdr:sp>
    <xdr:clientData/>
  </xdr:twoCellAnchor>
  <xdr:twoCellAnchor>
    <xdr:from>
      <xdr:col>10</xdr:col>
      <xdr:colOff>457201</xdr:colOff>
      <xdr:row>48</xdr:row>
      <xdr:rowOff>9526</xdr:rowOff>
    </xdr:from>
    <xdr:to>
      <xdr:col>18</xdr:col>
      <xdr:colOff>9526</xdr:colOff>
      <xdr:row>55</xdr:row>
      <xdr:rowOff>19051</xdr:rowOff>
    </xdr:to>
    <xdr:sp macro="" textlink="">
      <xdr:nvSpPr>
        <xdr:cNvPr id="12" name="TextBox 11"/>
        <xdr:cNvSpPr txBox="1"/>
      </xdr:nvSpPr>
      <xdr:spPr>
        <a:xfrm>
          <a:off x="6524626" y="9201151"/>
          <a:ext cx="3352800" cy="1352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b="1"/>
            <a:t>3️.Sales by Month</a:t>
          </a:r>
        </a:p>
        <a:p>
          <a:pPr algn="ctr"/>
          <a:endParaRPr lang="en-IN" b="1"/>
        </a:p>
        <a:p>
          <a:pPr algn="ctr"/>
          <a:r>
            <a:rPr lang="en-IN" b="1"/>
            <a:t>Monthly sales analysis shows that March recorded the highest sales (39,030.15), while February had the lowest sales (30,612.45). This indicates improved customer purchasing activity in March compared to earlier months.</a:t>
          </a:r>
        </a:p>
      </xdr:txBody>
    </xdr:sp>
    <xdr:clientData/>
  </xdr:twoCellAnchor>
  <xdr:twoCellAnchor>
    <xdr:from>
      <xdr:col>10</xdr:col>
      <xdr:colOff>457200</xdr:colOff>
      <xdr:row>67</xdr:row>
      <xdr:rowOff>9525</xdr:rowOff>
    </xdr:from>
    <xdr:to>
      <xdr:col>18</xdr:col>
      <xdr:colOff>9525</xdr:colOff>
      <xdr:row>73</xdr:row>
      <xdr:rowOff>190500</xdr:rowOff>
    </xdr:to>
    <xdr:sp macro="" textlink="">
      <xdr:nvSpPr>
        <xdr:cNvPr id="13" name="TextBox 12"/>
        <xdr:cNvSpPr txBox="1"/>
      </xdr:nvSpPr>
      <xdr:spPr>
        <a:xfrm>
          <a:off x="6524625" y="12839700"/>
          <a:ext cx="3352800" cy="13239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b="1"/>
            <a:t>5️.Top 5 Products</a:t>
          </a:r>
        </a:p>
        <a:p>
          <a:pPr algn="ctr"/>
          <a:endParaRPr lang="en-IN" b="1"/>
        </a:p>
        <a:p>
          <a:pPr algn="ctr"/>
          <a:r>
            <a:rPr lang="en-IN" b="1"/>
            <a:t>Product sales analysis shows that Home and Lifestyle is the top-selling product category (19,276.94), followed by Health and Beauty (19,056.29) and Food and Beverages (17,152.58). These categories contribute the highest share of product revenue.</a:t>
          </a:r>
        </a:p>
      </xdr:txBody>
    </xdr:sp>
    <xdr:clientData/>
  </xdr:twoCellAnchor>
  <xdr:twoCellAnchor>
    <xdr:from>
      <xdr:col>11</xdr:col>
      <xdr:colOff>9526</xdr:colOff>
      <xdr:row>85</xdr:row>
      <xdr:rowOff>9526</xdr:rowOff>
    </xdr:from>
    <xdr:to>
      <xdr:col>17</xdr:col>
      <xdr:colOff>523876</xdr:colOff>
      <xdr:row>92</xdr:row>
      <xdr:rowOff>19051</xdr:rowOff>
    </xdr:to>
    <xdr:sp macro="" textlink="">
      <xdr:nvSpPr>
        <xdr:cNvPr id="14" name="TextBox 13"/>
        <xdr:cNvSpPr txBox="1"/>
      </xdr:nvSpPr>
      <xdr:spPr>
        <a:xfrm>
          <a:off x="6543676" y="16287751"/>
          <a:ext cx="3314700" cy="1352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b="1"/>
            <a:t>4️.Top 10 Customers</a:t>
          </a:r>
        </a:p>
        <a:p>
          <a:pPr algn="ctr"/>
          <a:endParaRPr lang="en-IN" b="1"/>
        </a:p>
        <a:p>
          <a:pPr algn="ctr"/>
          <a:r>
            <a:rPr lang="en-IN" b="1"/>
            <a:t>Top customer transaction analysis shows that the highest transaction came from Invoice ID 687-47-8271 with sales of 1039.29, followed by 234-65-2137 with 1003.59. This highlights the most valuable individual customer transactions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323850</xdr:colOff>
      <xdr:row>14</xdr:row>
      <xdr:rowOff>123825</xdr:rowOff>
    </xdr:from>
    <xdr:to>
      <xdr:col>9</xdr:col>
      <xdr:colOff>19050</xdr:colOff>
      <xdr:row>29</xdr:row>
      <xdr:rowOff>9525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Lenovo" refreshedDate="46088.248523148148" createdVersion="5" refreshedVersion="5" minRefreshableVersion="3" recordCount="300">
  <cacheSource type="worksheet">
    <worksheetSource ref="A8:R308" sheet="PartB- EDA"/>
  </cacheSource>
  <cacheFields count="18">
    <cacheField name="Invoice_ID" numFmtId="0">
      <sharedItems/>
    </cacheField>
    <cacheField name="Branch" numFmtId="0">
      <sharedItems count="5">
        <s v="Alex"/>
        <s v="Giza"/>
        <s v="Cairo"/>
        <s v="Formula1" f="1"/>
        <s v="Formula2" f="1"/>
      </sharedItems>
    </cacheField>
    <cacheField name="City" numFmtId="0">
      <sharedItems/>
    </cacheField>
    <cacheField name="Customer_type" numFmtId="0">
      <sharedItems/>
    </cacheField>
    <cacheField name="Gender" numFmtId="0">
      <sharedItems/>
    </cacheField>
    <cacheField name="Product_line" numFmtId="0">
      <sharedItems count="6">
        <s v="Health and beauty"/>
        <s v="Electronic accessories"/>
        <s v="Home and lifestyle"/>
        <s v="Sports and travel"/>
        <s v="Food and beverages"/>
        <s v="Fashion accessories"/>
      </sharedItems>
    </cacheField>
    <cacheField name="Unit_price" numFmtId="0">
      <sharedItems containsSemiMixedTypes="0" containsString="0" containsNumber="1" minValue="10.59" maxValue="99.96"/>
    </cacheField>
    <cacheField name="Quantity" numFmtId="0">
      <sharedItems containsSemiMixedTypes="0" containsString="0" containsNumber="1" containsInteger="1" minValue="1" maxValue="10"/>
    </cacheField>
    <cacheField name="Tax_5%" numFmtId="0">
      <sharedItems containsSemiMixedTypes="0" containsString="0" containsNumber="1" minValue="0.627" maxValue="49.49"/>
    </cacheField>
    <cacheField name="Sales" numFmtId="0">
      <sharedItems containsSemiMixedTypes="0" containsString="0" containsNumber="1" minValue="13.167" maxValue="1039.29"/>
    </cacheField>
    <cacheField name="Date" numFmtId="164">
      <sharedItems containsSemiMixedTypes="0" containsNonDate="0" containsDate="1" containsString="0" minDate="2019-01-01T00:00:00" maxDate="2019-03-31T00:00:00"/>
    </cacheField>
    <cacheField name="Time" numFmtId="0">
      <sharedItems/>
    </cacheField>
    <cacheField name="Payment" numFmtId="0">
      <sharedItems/>
    </cacheField>
    <cacheField name="cogs" numFmtId="0">
      <sharedItems containsSemiMixedTypes="0" containsString="0" containsNumber="1" minValue="12.54" maxValue="989.8"/>
    </cacheField>
    <cacheField name="gross_margin_percentage" numFmtId="0">
      <sharedItems containsSemiMixedTypes="0" containsString="0" containsNumber="1" minValue="4.7619047620000003" maxValue="4.7619047620000003"/>
    </cacheField>
    <cacheField name="gross_income" numFmtId="0">
      <sharedItems containsSemiMixedTypes="0" containsString="0" containsNumber="1" minValue="0.627" maxValue="49.49"/>
    </cacheField>
    <cacheField name="Rating" numFmtId="0">
      <sharedItems containsSemiMixedTypes="0" containsString="0" containsNumber="1" minValue="4" maxValue="10"/>
    </cacheField>
    <cacheField name="Month" numFmtId="0">
      <sharedItems count="3">
        <s v="January"/>
        <s v="March"/>
        <s v="February"/>
      </sharedItems>
    </cacheField>
  </cacheFields>
  <calculatedItems count="2">
    <calculatedItem>
      <pivotArea cacheIndex="1" outline="0" fieldPosition="0">
        <references count="1">
          <reference field="1" count="1">
            <x v="3"/>
          </reference>
        </references>
      </pivotArea>
    </calculatedItem>
    <calculatedItem>
      <pivotArea cacheIndex="1" outline="0" fieldPosition="0">
        <references count="1">
          <reference field="1" count="1">
            <x v="4"/>
          </reference>
        </references>
      </pivotArea>
    </calculatedItem>
  </calculatedItem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Lenovo" refreshedDate="46090.647984953706" createdVersion="5" refreshedVersion="5" minRefreshableVersion="3" recordCount="301">
  <cacheSource type="worksheet">
    <worksheetSource ref="A8:R309" sheet="PartB- EDA"/>
  </cacheSource>
  <cacheFields count="18">
    <cacheField name="Invoice_ID" numFmtId="0">
      <sharedItems containsBlank="1" count="301">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m/>
      </sharedItems>
    </cacheField>
    <cacheField name="Branch" numFmtId="0">
      <sharedItems containsBlank="1"/>
    </cacheField>
    <cacheField name="City" numFmtId="0">
      <sharedItems containsBlank="1"/>
    </cacheField>
    <cacheField name="Customer_type" numFmtId="0">
      <sharedItems containsBlank="1" count="3">
        <s v="Member"/>
        <s v="Normal"/>
        <m/>
      </sharedItems>
    </cacheField>
    <cacheField name="Gender" numFmtId="0">
      <sharedItems containsBlank="1"/>
    </cacheField>
    <cacheField name="Product_line" numFmtId="0">
      <sharedItems containsBlank="1"/>
    </cacheField>
    <cacheField name="Unit_price" numFmtId="0">
      <sharedItems containsString="0" containsBlank="1" containsNumber="1" minValue="10.59" maxValue="99.96"/>
    </cacheField>
    <cacheField name="Quantity" numFmtId="0">
      <sharedItems containsString="0" containsBlank="1" containsNumber="1" containsInteger="1" minValue="1" maxValue="10"/>
    </cacheField>
    <cacheField name="Tax_5%" numFmtId="0">
      <sharedItems containsString="0" containsBlank="1" containsNumber="1" minValue="0.627" maxValue="49.49"/>
    </cacheField>
    <cacheField name="Sales" numFmtId="0">
      <sharedItems containsString="0" containsBlank="1" containsNumber="1" minValue="13.167" maxValue="1039.29" count="299">
        <n v="548.97149999999999"/>
        <n v="80.22"/>
        <n v="340.52550000000002"/>
        <n v="489.048"/>
        <n v="634.37850000000003"/>
        <n v="627.61649999999997"/>
        <n v="433.69200000000001"/>
        <n v="772.38"/>
        <n v="76.146000000000001"/>
        <n v="172.74600000000001"/>
        <n v="60.816000000000003"/>
        <n v="107.142"/>
        <n v="246.48750000000001"/>
        <n v="453.495"/>
        <n v="749.49"/>
        <n v="590.43600000000004"/>
        <n v="506.63549999999998"/>
        <n v="457.44299999999998"/>
        <n v="172.2105"/>
        <n v="84.63"/>
        <n v="451.71"/>
        <n v="277.137"/>
        <n v="69.72"/>
        <n v="181.44"/>
        <n v="279.18450000000001"/>
        <n v="441.75599999999997"/>
        <n v="35.195999999999998"/>
        <n v="184.107"/>
        <n v="463.89"/>
        <n v="235.2105"/>
        <n v="494.1825"/>
        <n v="737.76149999999996"/>
        <n v="703.75199999999995"/>
        <n v="202.81800000000001"/>
        <n v="417.56400000000002"/>
        <n v="71.525999999999996"/>
        <n v="328.755"/>
        <n v="575.31600000000003"/>
        <n v="461.32799999999997"/>
        <n v="253.00800000000001"/>
        <n v="91.055999999999997"/>
        <n v="117.831"/>
        <n v="435.45600000000002"/>
        <n v="829.08"/>
        <n v="32.277000000000001"/>
        <n v="394.63200000000001"/>
        <n v="535.72050000000002"/>
        <n v="189.09450000000001"/>
        <n v="119.259"/>
        <n v="867.61500000000001"/>
        <n v="671.79"/>
        <n v="234.0975"/>
        <n v="75.054000000000002"/>
        <n v="16.201499999999999"/>
        <n v="33.936"/>
        <n v="722.23199999999997"/>
        <n v="93.114000000000004"/>
        <n v="752.64"/>
        <n v="759.67499999999995"/>
        <n v="192.84299999999999"/>
        <n v="77.930999999999997"/>
        <n v="351.09899999999999"/>
        <n v="520.41150000000005"/>
        <n v="166.005"/>
        <n v="318.108"/>
        <n v="166.63499999999999"/>
        <n v="70.287000000000006"/>
        <n v="614.94299999999998"/>
        <n v="827.08500000000004"/>
        <n v="19.246500000000001"/>
        <n v="939.54"/>
        <n v="652.26"/>
        <n v="152.83799999999999"/>
        <n v="478.233"/>
        <n v="705.63149999999996"/>
        <n v="437.32499999999999"/>
        <n v="463.428"/>
        <n v="822.255"/>
        <n v="106.995"/>
        <n v="624.89700000000005"/>
        <n v="304.54199999999997"/>
        <n v="161.69999999999999"/>
        <n v="337.512"/>
        <n v="256.77749999999997"/>
        <n v="610.49099999999999"/>
        <n v="401.73"/>
        <n v="362.94299999999998"/>
        <n v="44.593499999999999"/>
        <n v="485.03699999999998"/>
        <n v="198.99600000000001"/>
        <n v="471.03"/>
        <n v="161.553"/>
        <n v="608.202"/>
        <n v="94.237499999999997"/>
        <n v="102.018"/>
        <n v="922.63499999999999"/>
        <n v="78.435000000000002"/>
        <n v="166.16249999999999"/>
        <n v="521.01"/>
        <n v="51.145499999999998"/>
        <n v="742.29750000000001"/>
        <n v="218.01150000000001"/>
        <n v="367.03800000000001"/>
        <n v="223.07249999999999"/>
        <n v="931.03499999999997"/>
        <n v="172.494"/>
        <n v="391.41899999999998"/>
        <n v="321.11099999999999"/>
        <n v="860.68499999999995"/>
        <n v="34.628999999999998"/>
        <n v="309.36149999999998"/>
        <n v="535.37400000000002"/>
        <n v="548.76149999999996"/>
        <n v="763.46550000000002"/>
        <n v="85.113"/>
        <n v="115.185"/>
        <n v="53.927999999999997"/>
        <n v="115.08"/>
        <n v="112.224"/>
        <n v="836.30399999999997"/>
        <n v="419.83199999999999"/>
        <n v="944.62199999999996"/>
        <n v="536.84400000000005"/>
        <n v="474.34800000000001"/>
        <n v="688.62149999999997"/>
        <n v="169.3125"/>
        <n v="299.8485"/>
        <n v="575.73599999999999"/>
        <n v="853.14599999999996"/>
        <n v="291.20699999999999"/>
        <n v="580.41899999999998"/>
        <n v="146.328"/>
        <n v="550.93499999999995"/>
        <n v="512.19000000000005"/>
        <n v="284.19299999999998"/>
        <n v="138.1275"/>
        <n v="216.846"/>
        <n v="545.05499999999995"/>
        <n v="609"/>
        <n v="942.9"/>
        <n v="950.25"/>
        <n v="720.3"/>
        <n v="31.930499999999999"/>
        <n v="491.08499999999998"/>
        <n v="291.43799999999999"/>
        <n v="316.47000000000003"/>
        <n v="277.78800000000001"/>
        <n v="603.62400000000002"/>
        <n v="272.66399999999999"/>
        <n v="384.46800000000002"/>
        <n v="254.01599999999999"/>
        <n v="786.61800000000005"/>
        <n v="103.824"/>
        <n v="680.14800000000002"/>
        <n v="484.52249999999998"/>
        <n v="75.778499999999994"/>
        <n v="263.97000000000003"/>
        <n v="918.72900000000004"/>
        <n v="588.35699999999997"/>
        <n v="362.71199999999999"/>
        <n v="66.874499999999998"/>
        <n v="336.55650000000003"/>
        <n v="160.44"/>
        <n v="418.95"/>
        <n v="357.58800000000002"/>
        <n v="1003.59"/>
        <n v="1039.29"/>
        <n v="323.06400000000002"/>
        <n v="510.97199999999998"/>
        <n v="367.55250000000001"/>
        <n v="420.26249999999999"/>
        <n v="175.14"/>
        <n v="333.20699999999999"/>
        <n v="166.23599999999999"/>
        <n v="319.78800000000001"/>
        <n v="186.22800000000001"/>
        <n v="165.4485"/>
        <n v="465.44400000000002"/>
        <n v="273.42"/>
        <n v="472.31099999999998"/>
        <n v="323.14800000000002"/>
        <n v="162.75"/>
        <n v="288.20400000000001"/>
        <n v="90.698999999999998"/>
        <n v="56.951999999999998"/>
        <n v="793.71600000000001"/>
        <n v="195.17400000000001"/>
        <n v="77.773499999999999"/>
        <n v="293.202"/>
        <n v="242.67599999999999"/>
        <n v="154.392"/>
        <n v="829.71"/>
        <n v="107.31"/>
        <n v="171.72749999999999"/>
        <n v="78.004499999999993"/>
        <n v="91.77"/>
        <n v="26.554500000000001"/>
        <n v="174.3"/>
        <n v="374.79750000000001"/>
        <n v="120.645"/>
        <n v="241.458"/>
        <n v="451.36349999999999"/>
        <n v="271.95"/>
        <n v="93.292500000000004"/>
        <n v="217.6335"/>
        <n v="629.84249999999997"/>
        <n v="299.565"/>
        <n v="95.665499999999994"/>
        <n v="942.44849999999997"/>
        <n v="247.87350000000001"/>
        <n v="881.30700000000002"/>
        <n v="484.89"/>
        <n v="146.22300000000001"/>
        <n v="19.193999999999999"/>
        <n v="130.04249999999999"/>
        <n v="298.11599999999999"/>
        <n v="796.90800000000002"/>
        <n v="180.62100000000001"/>
        <n v="285.70499999999998"/>
        <n v="456.28800000000001"/>
        <n v="62.002499999999998"/>
        <n v="13.167"/>
        <n v="90.825000000000003"/>
        <n v="183.036"/>
        <n v="655.54650000000004"/>
        <n v="155.65199999999999"/>
        <n v="571.41"/>
        <n v="532.72799999999995"/>
        <n v="170.87700000000001"/>
        <n v="33.358499999999999"/>
        <n v="794.65049999999997"/>
        <n v="310.04399999999998"/>
        <n v="545.37"/>
        <n v="195.59399999999999"/>
        <n v="91.402500000000003"/>
        <n v="232.155"/>
        <n v="69.405000000000001"/>
        <n v="94.174499999999995"/>
        <n v="235.68299999999999"/>
        <n v="125.517"/>
        <n v="195.72"/>
        <n v="263.13"/>
        <n v="788.50800000000004"/>
        <n v="399.75599999999997"/>
        <n v="256.41000000000003"/>
        <n v="94.185000000000002"/>
        <n v="326.42399999999998"/>
        <n v="536.99099999999999"/>
        <n v="439.89749999999998"/>
        <n v="369.495"/>
        <n v="30.219000000000001"/>
        <n v="99.75"/>
        <n v="494.76"/>
        <n v="137.00399999999999"/>
        <n v="69.667500000000004"/>
        <n v="163.233"/>
        <n v="135.44999999999999"/>
        <n v="276.94799999999998"/>
        <n v="709.31700000000001"/>
        <n v="69.09"/>
        <n v="160.86000000000001"/>
        <n v="233.52"/>
        <n v="57.172499999999999"/>
        <n v="723.24"/>
        <n v="148.97399999999999"/>
        <n v="783.3"/>
        <n v="297.108"/>
        <n v="373.17"/>
        <n v="354.00749999999999"/>
        <n v="44.351999999999997"/>
        <n v="203.553"/>
        <n v="25.263000000000002"/>
        <n v="628.173"/>
        <n v="352.5795"/>
        <n v="229.11"/>
        <n v="400.76400000000001"/>
        <n v="745.39499999999998"/>
        <n v="462.21"/>
        <n v="587.66399999999999"/>
        <n v="38.85"/>
        <n v="16.106999999999999"/>
        <n v="628.92899999999997"/>
        <n v="200.214"/>
        <n v="350.07"/>
        <n v="78.602999999999994"/>
        <n v="224.4375"/>
        <n v="356.54849999999999"/>
        <n v="697.36800000000005"/>
        <n v="423.15"/>
        <n v="204.69749999999999"/>
        <n v="65.603999999999999"/>
        <n v="76.355999999999995"/>
        <n v="190.155"/>
        <n v="272.58"/>
        <n v="121.128"/>
        <n v="493.79399999999998"/>
        <n v="252.042"/>
        <n v="93.040499999999994"/>
        <m/>
      </sharedItems>
    </cacheField>
    <cacheField name="Date" numFmtId="14">
      <sharedItems containsNonDate="0" containsDate="1" containsString="0" containsBlank="1" minDate="2019-01-01T00:00:00" maxDate="2019-03-31T00:00:00"/>
    </cacheField>
    <cacheField name="Time" numFmtId="0">
      <sharedItems containsBlank="1"/>
    </cacheField>
    <cacheField name="Payment" numFmtId="0">
      <sharedItems containsBlank="1"/>
    </cacheField>
    <cacheField name="cogs" numFmtId="0">
      <sharedItems containsString="0" containsBlank="1" containsNumber="1" minValue="12.54" maxValue="989.8"/>
    </cacheField>
    <cacheField name="gross_margin_percentage" numFmtId="0">
      <sharedItems containsString="0" containsBlank="1" containsNumber="1" minValue="4.7619047620000003" maxValue="4.7619047620000003"/>
    </cacheField>
    <cacheField name="gross_income" numFmtId="0">
      <sharedItems containsString="0" containsBlank="1" containsNumber="1" minValue="0.627" maxValue="49.49"/>
    </cacheField>
    <cacheField name="Rating" numFmtId="0">
      <sharedItems containsString="0" containsBlank="1" containsNumber="1" minValue="4" maxValue="10"/>
    </cacheField>
    <cacheField name="Month"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00">
  <r>
    <s v="750-67-8428"/>
    <x v="0"/>
    <s v="Yangon"/>
    <s v="Member"/>
    <s v="Female"/>
    <x v="0"/>
    <n v="74.69"/>
    <n v="7"/>
    <n v="26.141500000000001"/>
    <n v="548.97149999999999"/>
    <d v="2019-01-05T00:00:00"/>
    <s v="1:08:00 PM"/>
    <s v="Ewallet"/>
    <n v="522.83000000000004"/>
    <n v="4.7619047620000003"/>
    <n v="26.141500000000001"/>
    <n v="9.1"/>
    <x v="0"/>
  </r>
  <r>
    <s v="226-31-3081"/>
    <x v="1"/>
    <s v="Naypyitaw"/>
    <s v="Normal"/>
    <s v="Female"/>
    <x v="1"/>
    <n v="15.28"/>
    <n v="5"/>
    <n v="3.82"/>
    <n v="80.22"/>
    <d v="2019-03-08T00:00:00"/>
    <s v="10:29:00 AM"/>
    <s v="Cash"/>
    <n v="76.400000000000006"/>
    <n v="4.7619047620000003"/>
    <n v="3.82"/>
    <n v="9.6"/>
    <x v="1"/>
  </r>
  <r>
    <s v="631-41-3108"/>
    <x v="0"/>
    <s v="Yangon"/>
    <s v="Normal"/>
    <s v="Female"/>
    <x v="2"/>
    <n v="46.33"/>
    <n v="7"/>
    <n v="16.215499999999999"/>
    <n v="340.52550000000002"/>
    <d v="2019-03-03T00:00:00"/>
    <s v="1:23:00 PM"/>
    <s v="Credit card"/>
    <n v="324.31"/>
    <n v="4.7619047620000003"/>
    <n v="16.215499999999999"/>
    <n v="7.4"/>
    <x v="1"/>
  </r>
  <r>
    <s v="123-19-1176"/>
    <x v="0"/>
    <s v="Yangon"/>
    <s v="Member"/>
    <s v="Female"/>
    <x v="0"/>
    <n v="58.22"/>
    <n v="8"/>
    <n v="23.288"/>
    <n v="489.048"/>
    <d v="2019-01-27T00:00:00"/>
    <s v="8:33:00 PM"/>
    <s v="Ewallet"/>
    <n v="465.76"/>
    <n v="4.7619047620000003"/>
    <n v="23.288"/>
    <n v="8.4"/>
    <x v="0"/>
  </r>
  <r>
    <s v="373-73-7910"/>
    <x v="0"/>
    <s v="Yangon"/>
    <s v="Member"/>
    <s v="Female"/>
    <x v="3"/>
    <n v="86.31"/>
    <n v="7"/>
    <n v="30.208500000000001"/>
    <n v="634.37850000000003"/>
    <d v="2019-02-08T00:00:00"/>
    <s v="10:37:00 AM"/>
    <s v="Ewallet"/>
    <n v="604.16999999999996"/>
    <n v="4.7619047620000003"/>
    <n v="30.208500000000001"/>
    <n v="5.3"/>
    <x v="2"/>
  </r>
  <r>
    <s v="699-14-3026"/>
    <x v="1"/>
    <s v="Naypyitaw"/>
    <s v="Member"/>
    <s v="Female"/>
    <x v="1"/>
    <n v="85.39"/>
    <n v="7"/>
    <n v="29.886500000000002"/>
    <n v="627.61649999999997"/>
    <d v="2019-03-25T00:00:00"/>
    <s v="6:30:00 PM"/>
    <s v="Ewallet"/>
    <n v="597.73"/>
    <n v="4.7619047620000003"/>
    <n v="29.886500000000002"/>
    <n v="4.0999999999999996"/>
    <x v="1"/>
  </r>
  <r>
    <s v="355-53-5943"/>
    <x v="0"/>
    <s v="Yangon"/>
    <s v="Member"/>
    <s v="Female"/>
    <x v="1"/>
    <n v="68.84"/>
    <n v="6"/>
    <n v="20.652000000000001"/>
    <n v="433.69200000000001"/>
    <d v="2019-02-25T00:00:00"/>
    <s v="2:36:00 PM"/>
    <s v="Ewallet"/>
    <n v="413.04"/>
    <n v="4.7619047620000003"/>
    <n v="20.652000000000001"/>
    <n v="5.8"/>
    <x v="2"/>
  </r>
  <r>
    <s v="315-22-5665"/>
    <x v="1"/>
    <s v="Naypyitaw"/>
    <s v="Member"/>
    <s v="Female"/>
    <x v="2"/>
    <n v="73.56"/>
    <n v="10"/>
    <n v="36.78"/>
    <n v="772.38"/>
    <d v="2019-02-24T00:00:00"/>
    <s v="11:38:00 AM"/>
    <s v="Ewallet"/>
    <n v="735.6"/>
    <n v="4.7619047620000003"/>
    <n v="36.78"/>
    <n v="8"/>
    <x v="2"/>
  </r>
  <r>
    <s v="665-32-9167"/>
    <x v="0"/>
    <s v="Yangon"/>
    <s v="Member"/>
    <s v="Female"/>
    <x v="0"/>
    <n v="36.26"/>
    <n v="2"/>
    <n v="3.6259999999999999"/>
    <n v="76.146000000000001"/>
    <d v="2019-01-10T00:00:00"/>
    <s v="5:15:00 PM"/>
    <s v="Credit card"/>
    <n v="72.52"/>
    <n v="4.7619047620000003"/>
    <n v="3.6259999999999999"/>
    <n v="7.2"/>
    <x v="0"/>
  </r>
  <r>
    <s v="692-92-5582"/>
    <x v="2"/>
    <s v="Mandalay"/>
    <s v="Member"/>
    <s v="Female"/>
    <x v="4"/>
    <n v="54.84"/>
    <n v="3"/>
    <n v="8.2260000000000009"/>
    <n v="172.74600000000001"/>
    <d v="2019-02-20T00:00:00"/>
    <s v="1:27:00 PM"/>
    <s v="Credit card"/>
    <n v="164.52"/>
    <n v="4.7619047620000003"/>
    <n v="8.2260000000000009"/>
    <n v="5.9"/>
    <x v="2"/>
  </r>
  <r>
    <s v="351-62-0822"/>
    <x v="2"/>
    <s v="Mandalay"/>
    <s v="Member"/>
    <s v="Female"/>
    <x v="5"/>
    <n v="14.48"/>
    <n v="4"/>
    <n v="2.8959999999999999"/>
    <n v="60.816000000000003"/>
    <d v="2019-02-06T00:00:00"/>
    <s v="6:07:00 PM"/>
    <s v="Ewallet"/>
    <n v="57.92"/>
    <n v="4.7619047620000003"/>
    <n v="2.8959999999999999"/>
    <n v="4.5"/>
    <x v="2"/>
  </r>
  <r>
    <s v="529-56-3974"/>
    <x v="2"/>
    <s v="Mandalay"/>
    <s v="Member"/>
    <s v="Female"/>
    <x v="1"/>
    <n v="25.51"/>
    <n v="4"/>
    <n v="5.1020000000000003"/>
    <n v="107.142"/>
    <d v="2019-03-09T00:00:00"/>
    <s v="5:03:00 PM"/>
    <s v="Cash"/>
    <n v="102.04"/>
    <n v="4.7619047620000003"/>
    <n v="5.1020000000000003"/>
    <n v="6.8"/>
    <x v="1"/>
  </r>
  <r>
    <s v="365-64-0515"/>
    <x v="0"/>
    <s v="Yangon"/>
    <s v="Member"/>
    <s v="Female"/>
    <x v="1"/>
    <n v="46.95"/>
    <n v="5"/>
    <n v="11.737500000000001"/>
    <n v="246.48750000000001"/>
    <d v="2019-02-12T00:00:00"/>
    <s v="10:25:00 AM"/>
    <s v="Ewallet"/>
    <n v="234.75"/>
    <n v="4.7619047620000003"/>
    <n v="11.737500000000001"/>
    <n v="7.1"/>
    <x v="2"/>
  </r>
  <r>
    <s v="252-56-2699"/>
    <x v="0"/>
    <s v="Yangon"/>
    <s v="Member"/>
    <s v="Female"/>
    <x v="4"/>
    <n v="43.19"/>
    <n v="10"/>
    <n v="21.594999999999999"/>
    <n v="453.495"/>
    <d v="2019-02-07T00:00:00"/>
    <s v="4:48:00 PM"/>
    <s v="Ewallet"/>
    <n v="431.9"/>
    <n v="4.7619047620000003"/>
    <n v="21.594999999999999"/>
    <n v="8.1999999999999993"/>
    <x v="2"/>
  </r>
  <r>
    <s v="829-34-3910"/>
    <x v="0"/>
    <s v="Yangon"/>
    <s v="Member"/>
    <s v="Female"/>
    <x v="0"/>
    <n v="71.38"/>
    <n v="10"/>
    <n v="35.69"/>
    <n v="749.49"/>
    <d v="2019-03-29T00:00:00"/>
    <s v="7:21:00 PM"/>
    <s v="Cash"/>
    <n v="713.8"/>
    <n v="4.7619047620000003"/>
    <n v="35.69"/>
    <n v="5.7"/>
    <x v="1"/>
  </r>
  <r>
    <s v="299-46-1805"/>
    <x v="2"/>
    <s v="Mandalay"/>
    <s v="Member"/>
    <s v="Female"/>
    <x v="3"/>
    <n v="93.72"/>
    <n v="6"/>
    <n v="28.116"/>
    <n v="590.43600000000004"/>
    <d v="2019-01-15T00:00:00"/>
    <s v="4:19:00 PM"/>
    <s v="Cash"/>
    <n v="562.32000000000005"/>
    <n v="4.7619047620000003"/>
    <n v="28.116"/>
    <n v="4.5"/>
    <x v="0"/>
  </r>
  <r>
    <s v="656-95-9349"/>
    <x v="0"/>
    <s v="Yangon"/>
    <s v="Member"/>
    <s v="Female"/>
    <x v="0"/>
    <n v="68.930000000000007"/>
    <n v="7"/>
    <n v="24.125499999999999"/>
    <n v="506.63549999999998"/>
    <d v="2019-03-11T00:00:00"/>
    <s v="11:03:00 AM"/>
    <s v="Credit card"/>
    <n v="482.51"/>
    <n v="4.7619047620000003"/>
    <n v="24.125499999999999"/>
    <n v="4.5999999999999996"/>
    <x v="1"/>
  </r>
  <r>
    <s v="765-26-6951"/>
    <x v="0"/>
    <s v="Yangon"/>
    <s v="Member"/>
    <s v="Female"/>
    <x v="3"/>
    <n v="72.61"/>
    <n v="6"/>
    <n v="21.783000000000001"/>
    <n v="457.44299999999998"/>
    <d v="2019-01-01T00:00:00"/>
    <s v="10:39:00 AM"/>
    <s v="Credit card"/>
    <n v="435.66"/>
    <n v="4.7619047620000003"/>
    <n v="21.783000000000001"/>
    <n v="6.9"/>
    <x v="0"/>
  </r>
  <r>
    <s v="329-62-1586"/>
    <x v="0"/>
    <s v="Yangon"/>
    <s v="Member"/>
    <s v="Female"/>
    <x v="4"/>
    <n v="54.67"/>
    <n v="3"/>
    <n v="8.2004999999999999"/>
    <n v="172.2105"/>
    <d v="2019-01-21T00:00:00"/>
    <s v="6:00:00 PM"/>
    <s v="Credit card"/>
    <n v="164.01"/>
    <n v="4.7619047620000003"/>
    <n v="8.2004999999999999"/>
    <n v="8.6"/>
    <x v="0"/>
  </r>
  <r>
    <s v="319-50-3348"/>
    <x v="2"/>
    <s v="Mandalay"/>
    <s v="Member"/>
    <s v="Female"/>
    <x v="2"/>
    <n v="40.299999999999997"/>
    <n v="2"/>
    <n v="4.03"/>
    <n v="84.63"/>
    <d v="2019-03-11T00:00:00"/>
    <s v="3:30:00 PM"/>
    <s v="Ewallet"/>
    <n v="80.599999999999994"/>
    <n v="4.7619047620000003"/>
    <n v="4.03"/>
    <n v="4.4000000000000004"/>
    <x v="1"/>
  </r>
  <r>
    <s v="300-71-4605"/>
    <x v="1"/>
    <s v="Naypyitaw"/>
    <s v="Member"/>
    <s v="Female"/>
    <x v="1"/>
    <n v="86.04"/>
    <n v="5"/>
    <n v="21.51"/>
    <n v="451.71"/>
    <d v="2019-02-25T00:00:00"/>
    <s v="11:24:00 AM"/>
    <s v="Ewallet"/>
    <n v="430.2"/>
    <n v="4.7619047620000003"/>
    <n v="21.51"/>
    <n v="4.8"/>
    <x v="2"/>
  </r>
  <r>
    <s v="371-85-5789"/>
    <x v="2"/>
    <s v="Mandalay"/>
    <s v="Member"/>
    <s v="Female"/>
    <x v="0"/>
    <n v="87.98"/>
    <n v="3"/>
    <n v="13.196999999999999"/>
    <n v="277.137"/>
    <d v="2019-03-05T00:00:00"/>
    <s v="10:40:00 AM"/>
    <s v="Ewallet"/>
    <n v="263.94"/>
    <n v="4.7619047620000003"/>
    <n v="13.196999999999999"/>
    <n v="5.0999999999999996"/>
    <x v="1"/>
  </r>
  <r>
    <s v="273-16-6619"/>
    <x v="2"/>
    <s v="Mandalay"/>
    <s v="Member"/>
    <s v="Female"/>
    <x v="2"/>
    <n v="33.200000000000003"/>
    <n v="2"/>
    <n v="3.32"/>
    <n v="69.72"/>
    <d v="2019-03-15T00:00:00"/>
    <s v="12:20:00 PM"/>
    <s v="Credit card"/>
    <n v="66.400000000000006"/>
    <n v="4.7619047620000003"/>
    <n v="3.32"/>
    <n v="4.4000000000000004"/>
    <x v="1"/>
  </r>
  <r>
    <s v="636-48-8204"/>
    <x v="0"/>
    <s v="Yangon"/>
    <s v="Member"/>
    <s v="Female"/>
    <x v="1"/>
    <n v="34.56"/>
    <n v="5"/>
    <n v="8.64"/>
    <n v="181.44"/>
    <d v="2019-02-17T00:00:00"/>
    <s v="11:15:00 AM"/>
    <s v="Ewallet"/>
    <n v="172.8"/>
    <n v="4.7619047620000003"/>
    <n v="8.64"/>
    <n v="9.9"/>
    <x v="2"/>
  </r>
  <r>
    <s v="549-59-1358"/>
    <x v="0"/>
    <s v="Yangon"/>
    <s v="Member"/>
    <s v="Female"/>
    <x v="3"/>
    <n v="88.63"/>
    <n v="3"/>
    <n v="13.294499999999999"/>
    <n v="279.18450000000001"/>
    <d v="2019-03-02T00:00:00"/>
    <s v="5:36:00 PM"/>
    <s v="Ewallet"/>
    <n v="265.89"/>
    <n v="4.7619047620000003"/>
    <n v="13.294499999999999"/>
    <n v="6"/>
    <x v="1"/>
  </r>
  <r>
    <s v="227-03-5010"/>
    <x v="0"/>
    <s v="Yangon"/>
    <s v="Member"/>
    <s v="Female"/>
    <x v="2"/>
    <n v="52.59"/>
    <n v="8"/>
    <n v="21.036000000000001"/>
    <n v="441.75599999999997"/>
    <d v="2019-03-22T00:00:00"/>
    <s v="7:20:00 PM"/>
    <s v="Credit card"/>
    <n v="420.72"/>
    <n v="4.7619047620000003"/>
    <n v="21.036000000000001"/>
    <n v="8.5"/>
    <x v="1"/>
  </r>
  <r>
    <s v="649-29-6775"/>
    <x v="2"/>
    <s v="Mandalay"/>
    <s v="Member"/>
    <s v="Female"/>
    <x v="5"/>
    <n v="33.520000000000003"/>
    <n v="1"/>
    <n v="1.6759999999999999"/>
    <n v="35.195999999999998"/>
    <d v="2019-02-08T00:00:00"/>
    <s v="3:31:00 PM"/>
    <s v="Cash"/>
    <n v="33.520000000000003"/>
    <n v="4.7619047620000003"/>
    <n v="1.6759999999999999"/>
    <n v="6.7"/>
    <x v="2"/>
  </r>
  <r>
    <s v="189-17-4241"/>
    <x v="0"/>
    <s v="Yangon"/>
    <s v="Member"/>
    <s v="Female"/>
    <x v="5"/>
    <n v="87.67"/>
    <n v="2"/>
    <n v="8.7669999999999995"/>
    <n v="184.107"/>
    <d v="2019-03-10T00:00:00"/>
    <s v="12:17:00 PM"/>
    <s v="Credit card"/>
    <n v="175.34"/>
    <n v="4.7619047620000003"/>
    <n v="8.7669999999999995"/>
    <n v="7.7"/>
    <x v="1"/>
  </r>
  <r>
    <s v="145-94-9061"/>
    <x v="2"/>
    <s v="Mandalay"/>
    <s v="Member"/>
    <s v="Female"/>
    <x v="4"/>
    <n v="88.36"/>
    <n v="5"/>
    <n v="22.09"/>
    <n v="463.89"/>
    <d v="2019-01-25T00:00:00"/>
    <s v="7:48:00 PM"/>
    <s v="Cash"/>
    <n v="441.8"/>
    <n v="4.7619047620000003"/>
    <n v="22.09"/>
    <n v="9.6"/>
    <x v="0"/>
  </r>
  <r>
    <s v="848-62-7243"/>
    <x v="0"/>
    <s v="Yangon"/>
    <s v="Member"/>
    <s v="Female"/>
    <x v="0"/>
    <n v="24.89"/>
    <n v="9"/>
    <n v="11.2005"/>
    <n v="235.2105"/>
    <d v="2019-03-15T00:00:00"/>
    <s v="3:36:00 PM"/>
    <s v="Cash"/>
    <n v="224.01"/>
    <n v="4.7619047620000003"/>
    <n v="11.2005"/>
    <n v="7.4"/>
    <x v="1"/>
  </r>
  <r>
    <s v="871-79-8483"/>
    <x v="2"/>
    <s v="Mandalay"/>
    <s v="Member"/>
    <s v="Female"/>
    <x v="5"/>
    <n v="94.13"/>
    <n v="5"/>
    <n v="23.532499999999999"/>
    <n v="494.1825"/>
    <d v="2019-02-25T00:00:00"/>
    <s v="7:39:00 PM"/>
    <s v="Credit card"/>
    <n v="470.65"/>
    <n v="4.7619047620000003"/>
    <n v="23.532499999999999"/>
    <n v="4.8"/>
    <x v="2"/>
  </r>
  <r>
    <s v="149-71-6266"/>
    <x v="2"/>
    <s v="Mandalay"/>
    <s v="Member"/>
    <s v="Female"/>
    <x v="3"/>
    <n v="78.069999999999993"/>
    <n v="9"/>
    <n v="35.131500000000003"/>
    <n v="737.76149999999996"/>
    <d v="2019-01-28T00:00:00"/>
    <s v="12:43:00 PM"/>
    <s v="Cash"/>
    <n v="702.63"/>
    <n v="4.7619047620000003"/>
    <n v="35.131500000000003"/>
    <n v="4.5"/>
    <x v="0"/>
  </r>
  <r>
    <s v="640-49-2076"/>
    <x v="2"/>
    <s v="Mandalay"/>
    <s v="Member"/>
    <s v="Female"/>
    <x v="3"/>
    <n v="83.78"/>
    <n v="8"/>
    <n v="33.512"/>
    <n v="703.75199999999995"/>
    <d v="2019-01-10T00:00:00"/>
    <s v="2:49:00 PM"/>
    <s v="Cash"/>
    <n v="670.24"/>
    <n v="4.7619047620000003"/>
    <n v="33.512"/>
    <n v="5.0999999999999996"/>
    <x v="0"/>
  </r>
  <r>
    <s v="595-11-5460"/>
    <x v="0"/>
    <s v="Yangon"/>
    <s v="Member"/>
    <s v="Female"/>
    <x v="0"/>
    <n v="96.58"/>
    <n v="2"/>
    <n v="9.6579999999999995"/>
    <n v="202.81800000000001"/>
    <d v="2019-03-15T00:00:00"/>
    <s v="10:12:00 AM"/>
    <s v="Credit card"/>
    <n v="193.16"/>
    <n v="4.7619047620000003"/>
    <n v="9.6579999999999995"/>
    <n v="5.0999999999999996"/>
    <x v="1"/>
  </r>
  <r>
    <s v="183-56-6882"/>
    <x v="1"/>
    <s v="Naypyitaw"/>
    <s v="Member"/>
    <s v="Female"/>
    <x v="4"/>
    <n v="99.42"/>
    <n v="4"/>
    <n v="19.884"/>
    <n v="417.56400000000002"/>
    <d v="2019-02-06T00:00:00"/>
    <s v="10:42:00 AM"/>
    <s v="Ewallet"/>
    <n v="397.68"/>
    <n v="4.7619047620000003"/>
    <n v="19.884"/>
    <n v="7.5"/>
    <x v="2"/>
  </r>
  <r>
    <s v="232-16-2483"/>
    <x v="1"/>
    <s v="Naypyitaw"/>
    <s v="Member"/>
    <s v="Female"/>
    <x v="3"/>
    <n v="68.12"/>
    <n v="1"/>
    <n v="3.4060000000000001"/>
    <n v="71.525999999999996"/>
    <d v="2019-01-07T00:00:00"/>
    <s v="12:28:00 PM"/>
    <s v="Ewallet"/>
    <n v="68.12"/>
    <n v="4.7619047620000003"/>
    <n v="3.4060000000000001"/>
    <n v="6.8"/>
    <x v="0"/>
  </r>
  <r>
    <s v="129-29-8530"/>
    <x v="0"/>
    <s v="Yangon"/>
    <s v="Member"/>
    <s v="Female"/>
    <x v="3"/>
    <n v="62.62"/>
    <n v="5"/>
    <n v="15.654999999999999"/>
    <n v="328.755"/>
    <d v="2019-03-10T00:00:00"/>
    <s v="7:15:00 PM"/>
    <s v="Ewallet"/>
    <n v="313.10000000000002"/>
    <n v="4.7619047620000003"/>
    <n v="15.654999999999999"/>
    <n v="7"/>
    <x v="1"/>
  </r>
  <r>
    <s v="272-65-1806"/>
    <x v="0"/>
    <s v="Yangon"/>
    <s v="Member"/>
    <s v="Female"/>
    <x v="1"/>
    <n v="60.88"/>
    <n v="9"/>
    <n v="27.396000000000001"/>
    <n v="575.31600000000003"/>
    <d v="2019-01-15T00:00:00"/>
    <s v="5:17:00 PM"/>
    <s v="Ewallet"/>
    <n v="547.91999999999996"/>
    <n v="4.7619047620000003"/>
    <n v="27.396000000000001"/>
    <n v="4.7"/>
    <x v="0"/>
  </r>
  <r>
    <s v="333-73-7901"/>
    <x v="1"/>
    <s v="Naypyitaw"/>
    <s v="Member"/>
    <s v="Female"/>
    <x v="0"/>
    <n v="54.92"/>
    <n v="8"/>
    <n v="21.968"/>
    <n v="461.32799999999997"/>
    <d v="2019-03-23T00:00:00"/>
    <s v="1:24:00 PM"/>
    <s v="Ewallet"/>
    <n v="439.36"/>
    <n v="4.7619047620000003"/>
    <n v="21.968"/>
    <n v="7.6"/>
    <x v="1"/>
  </r>
  <r>
    <s v="777-82-7220"/>
    <x v="2"/>
    <s v="Mandalay"/>
    <s v="Member"/>
    <s v="Female"/>
    <x v="2"/>
    <n v="30.12"/>
    <n v="8"/>
    <n v="12.048"/>
    <n v="253.00800000000001"/>
    <d v="2019-03-03T00:00:00"/>
    <s v="1:01:00 PM"/>
    <s v="Cash"/>
    <n v="240.96"/>
    <n v="4.7619047620000003"/>
    <n v="12.048"/>
    <n v="7.7"/>
    <x v="1"/>
  </r>
  <r>
    <s v="280-35-5823"/>
    <x v="2"/>
    <s v="Mandalay"/>
    <s v="Member"/>
    <s v="Female"/>
    <x v="2"/>
    <n v="86.72"/>
    <n v="1"/>
    <n v="4.3360000000000003"/>
    <n v="91.055999999999997"/>
    <d v="2019-01-17T00:00:00"/>
    <s v="6:45:00 PM"/>
    <s v="Ewallet"/>
    <n v="86.72"/>
    <n v="4.7619047620000003"/>
    <n v="4.3360000000000003"/>
    <n v="7.9"/>
    <x v="0"/>
  </r>
  <r>
    <s v="554-53-8700"/>
    <x v="1"/>
    <s v="Naypyitaw"/>
    <s v="Member"/>
    <s v="Female"/>
    <x v="2"/>
    <n v="56.11"/>
    <n v="2"/>
    <n v="5.6109999999999998"/>
    <n v="117.831"/>
    <d v="2019-02-02T00:00:00"/>
    <s v="10:11:00 AM"/>
    <s v="Cash"/>
    <n v="112.22"/>
    <n v="4.7619047620000003"/>
    <n v="5.6109999999999998"/>
    <n v="6.3"/>
    <x v="2"/>
  </r>
  <r>
    <s v="354-25-5821"/>
    <x v="2"/>
    <s v="Mandalay"/>
    <s v="Member"/>
    <s v="Female"/>
    <x v="3"/>
    <n v="69.12"/>
    <n v="6"/>
    <n v="20.736000000000001"/>
    <n v="435.45600000000002"/>
    <d v="2019-02-08T00:00:00"/>
    <s v="1:03:00 PM"/>
    <s v="Cash"/>
    <n v="414.72"/>
    <n v="4.7619047620000003"/>
    <n v="20.736000000000001"/>
    <n v="5.6"/>
    <x v="2"/>
  </r>
  <r>
    <s v="228-96-1411"/>
    <x v="1"/>
    <s v="Naypyitaw"/>
    <s v="Member"/>
    <s v="Female"/>
    <x v="4"/>
    <n v="98.7"/>
    <n v="8"/>
    <n v="39.479999999999997"/>
    <n v="829.08"/>
    <d v="2019-03-04T00:00:00"/>
    <s v="8:39:00 PM"/>
    <s v="Cash"/>
    <n v="789.6"/>
    <n v="4.7619047620000003"/>
    <n v="39.479999999999997"/>
    <n v="7.6"/>
    <x v="1"/>
  </r>
  <r>
    <s v="617-15-4209"/>
    <x v="1"/>
    <s v="Naypyitaw"/>
    <s v="Member"/>
    <s v="Female"/>
    <x v="0"/>
    <n v="15.37"/>
    <n v="2"/>
    <n v="1.5369999999999999"/>
    <n v="32.277000000000001"/>
    <d v="2019-03-16T00:00:00"/>
    <s v="7:47:00 PM"/>
    <s v="Cash"/>
    <n v="30.74"/>
    <n v="4.7619047620000003"/>
    <n v="1.5369999999999999"/>
    <n v="7.2"/>
    <x v="1"/>
  </r>
  <r>
    <s v="132-32-9879"/>
    <x v="2"/>
    <s v="Mandalay"/>
    <s v="Member"/>
    <s v="Female"/>
    <x v="1"/>
    <n v="93.96"/>
    <n v="4"/>
    <n v="18.792000000000002"/>
    <n v="394.63200000000001"/>
    <d v="2019-03-09T00:00:00"/>
    <s v="6:00:00 PM"/>
    <s v="Cash"/>
    <n v="375.84"/>
    <n v="4.7619047620000003"/>
    <n v="18.792000000000002"/>
    <n v="9.5"/>
    <x v="1"/>
  </r>
  <r>
    <s v="370-41-7321"/>
    <x v="2"/>
    <s v="Mandalay"/>
    <s v="Member"/>
    <s v="Female"/>
    <x v="0"/>
    <n v="56.69"/>
    <n v="9"/>
    <n v="25.5105"/>
    <n v="535.72050000000002"/>
    <d v="2019-02-27T00:00:00"/>
    <s v="5:24:00 PM"/>
    <s v="Credit card"/>
    <n v="510.21"/>
    <n v="4.7619047620000003"/>
    <n v="25.5105"/>
    <n v="8.4"/>
    <x v="2"/>
  </r>
  <r>
    <s v="727-46-3608"/>
    <x v="2"/>
    <s v="Mandalay"/>
    <s v="Member"/>
    <s v="Female"/>
    <x v="4"/>
    <n v="20.010000000000002"/>
    <n v="9"/>
    <n v="9.0045000000000002"/>
    <n v="189.09450000000001"/>
    <d v="2019-02-06T00:00:00"/>
    <s v="3:47:00 PM"/>
    <s v="Ewallet"/>
    <n v="180.09"/>
    <n v="4.7619047620000003"/>
    <n v="9.0045000000000002"/>
    <n v="4.0999999999999996"/>
    <x v="2"/>
  </r>
  <r>
    <s v="669-54-1719"/>
    <x v="2"/>
    <s v="Mandalay"/>
    <s v="Member"/>
    <s v="Female"/>
    <x v="1"/>
    <n v="18.93"/>
    <n v="6"/>
    <n v="5.6790000000000003"/>
    <n v="119.259"/>
    <d v="2019-02-10T00:00:00"/>
    <s v="12:45:00 PM"/>
    <s v="Credit card"/>
    <n v="113.58"/>
    <n v="4.7619047620000003"/>
    <n v="5.6790000000000003"/>
    <n v="8.1"/>
    <x v="2"/>
  </r>
  <r>
    <s v="574-22-5561"/>
    <x v="1"/>
    <s v="Naypyitaw"/>
    <s v="Member"/>
    <s v="Female"/>
    <x v="5"/>
    <n v="82.63"/>
    <n v="10"/>
    <n v="41.314999999999998"/>
    <n v="867.61500000000001"/>
    <d v="2019-03-19T00:00:00"/>
    <s v="5:08:00 PM"/>
    <s v="Ewallet"/>
    <n v="826.3"/>
    <n v="4.7619047620000003"/>
    <n v="41.314999999999998"/>
    <n v="7.9"/>
    <x v="1"/>
  </r>
  <r>
    <s v="326-78-5178"/>
    <x v="1"/>
    <s v="Naypyitaw"/>
    <s v="Member"/>
    <s v="Female"/>
    <x v="4"/>
    <n v="91.4"/>
    <n v="7"/>
    <n v="31.99"/>
    <n v="671.79"/>
    <d v="2019-02-03T00:00:00"/>
    <s v="10:19:00 AM"/>
    <s v="Cash"/>
    <n v="639.79999999999995"/>
    <n v="4.7619047620000003"/>
    <n v="31.99"/>
    <n v="9.5"/>
    <x v="2"/>
  </r>
  <r>
    <s v="162-48-8011"/>
    <x v="0"/>
    <s v="Yangon"/>
    <s v="Member"/>
    <s v="Female"/>
    <x v="4"/>
    <n v="44.59"/>
    <n v="5"/>
    <n v="11.147500000000001"/>
    <n v="234.0975"/>
    <d v="2019-02-10T00:00:00"/>
    <s v="3:10:00 PM"/>
    <s v="Cash"/>
    <n v="222.95"/>
    <n v="4.7619047620000003"/>
    <n v="11.147500000000001"/>
    <n v="8.5"/>
    <x v="2"/>
  </r>
  <r>
    <s v="616-24-2851"/>
    <x v="2"/>
    <s v="Mandalay"/>
    <s v="Member"/>
    <s v="Female"/>
    <x v="5"/>
    <n v="17.87"/>
    <n v="4"/>
    <n v="3.5739999999999998"/>
    <n v="75.054000000000002"/>
    <d v="2019-03-22T00:00:00"/>
    <s v="2:42:00 PM"/>
    <s v="Ewallet"/>
    <n v="71.48"/>
    <n v="4.7619047620000003"/>
    <n v="3.5739999999999998"/>
    <n v="6.5"/>
    <x v="1"/>
  </r>
  <r>
    <s v="778-71-5554"/>
    <x v="1"/>
    <s v="Naypyitaw"/>
    <s v="Member"/>
    <s v="Female"/>
    <x v="5"/>
    <n v="15.43"/>
    <n v="1"/>
    <n v="0.77149999999999996"/>
    <n v="16.201499999999999"/>
    <d v="2019-01-25T00:00:00"/>
    <s v="3:46:00 PM"/>
    <s v="Credit card"/>
    <n v="15.43"/>
    <n v="4.7619047620000003"/>
    <n v="0.77149999999999996"/>
    <n v="6.1"/>
    <x v="0"/>
  </r>
  <r>
    <s v="242-55-6721"/>
    <x v="2"/>
    <s v="Mandalay"/>
    <s v="Member"/>
    <s v="Female"/>
    <x v="2"/>
    <n v="16.16"/>
    <n v="2"/>
    <n v="1.6160000000000001"/>
    <n v="33.936"/>
    <d v="2019-03-07T00:00:00"/>
    <s v="11:49:00 AM"/>
    <s v="Ewallet"/>
    <n v="32.32"/>
    <n v="4.7619047620000003"/>
    <n v="1.6160000000000001"/>
    <n v="6.5"/>
    <x v="1"/>
  </r>
  <r>
    <s v="399-46-5918"/>
    <x v="1"/>
    <s v="Naypyitaw"/>
    <s v="Member"/>
    <s v="Female"/>
    <x v="1"/>
    <n v="85.98"/>
    <n v="8"/>
    <n v="34.392000000000003"/>
    <n v="722.23199999999997"/>
    <d v="2019-02-28T00:00:00"/>
    <s v="7:01:00 PM"/>
    <s v="Cash"/>
    <n v="687.84"/>
    <n v="4.7619047620000003"/>
    <n v="34.392000000000003"/>
    <n v="8.1999999999999993"/>
    <x v="2"/>
  </r>
  <r>
    <s v="106-35-6779"/>
    <x v="0"/>
    <s v="Yangon"/>
    <s v="Member"/>
    <s v="Female"/>
    <x v="2"/>
    <n v="44.34"/>
    <n v="2"/>
    <n v="4.4340000000000002"/>
    <n v="93.114000000000004"/>
    <d v="2019-03-27T00:00:00"/>
    <s v="11:26:00 AM"/>
    <s v="Cash"/>
    <n v="88.68"/>
    <n v="4.7619047620000003"/>
    <n v="4.4340000000000002"/>
    <n v="5.8"/>
    <x v="1"/>
  </r>
  <r>
    <s v="635-40-6220"/>
    <x v="0"/>
    <s v="Yangon"/>
    <s v="Member"/>
    <s v="Female"/>
    <x v="0"/>
    <n v="89.6"/>
    <n v="8"/>
    <n v="35.840000000000003"/>
    <n v="752.64"/>
    <d v="2019-02-07T00:00:00"/>
    <s v="11:28:00 AM"/>
    <s v="Ewallet"/>
    <n v="716.8"/>
    <n v="4.7619047620000003"/>
    <n v="35.840000000000003"/>
    <n v="6.6"/>
    <x v="2"/>
  </r>
  <r>
    <s v="817-48-8732"/>
    <x v="0"/>
    <s v="Yangon"/>
    <s v="Member"/>
    <s v="Female"/>
    <x v="2"/>
    <n v="72.349999999999994"/>
    <n v="10"/>
    <n v="36.174999999999997"/>
    <n v="759.67499999999995"/>
    <d v="2019-01-20T00:00:00"/>
    <s v="3:55:00 PM"/>
    <s v="Cash"/>
    <n v="723.5"/>
    <n v="4.7619047620000003"/>
    <n v="36.174999999999997"/>
    <n v="5.4"/>
    <x v="0"/>
  </r>
  <r>
    <s v="120-06-4233"/>
    <x v="1"/>
    <s v="Naypyitaw"/>
    <s v="Member"/>
    <s v="Female"/>
    <x v="1"/>
    <n v="30.61"/>
    <n v="6"/>
    <n v="9.1829999999999998"/>
    <n v="192.84299999999999"/>
    <d v="2019-03-12T00:00:00"/>
    <s v="8:36:00 PM"/>
    <s v="Cash"/>
    <n v="183.66"/>
    <n v="4.7619047620000003"/>
    <n v="9.1829999999999998"/>
    <n v="9.3000000000000007"/>
    <x v="1"/>
  </r>
  <r>
    <s v="285-68-5083"/>
    <x v="1"/>
    <s v="Naypyitaw"/>
    <s v="Member"/>
    <s v="Female"/>
    <x v="3"/>
    <n v="24.74"/>
    <n v="3"/>
    <n v="3.7109999999999999"/>
    <n v="77.930999999999997"/>
    <d v="2019-02-15T00:00:00"/>
    <s v="5:47:00 PM"/>
    <s v="Credit card"/>
    <n v="74.22"/>
    <n v="4.7619047620000003"/>
    <n v="3.7109999999999999"/>
    <n v="10"/>
    <x v="2"/>
  </r>
  <r>
    <s v="803-83-5989"/>
    <x v="1"/>
    <s v="Naypyitaw"/>
    <s v="Member"/>
    <s v="Female"/>
    <x v="2"/>
    <n v="55.73"/>
    <n v="6"/>
    <n v="16.719000000000001"/>
    <n v="351.09899999999999"/>
    <d v="2019-02-24T00:00:00"/>
    <s v="10:55:00 AM"/>
    <s v="Ewallet"/>
    <n v="334.38"/>
    <n v="4.7619047620000003"/>
    <n v="16.719000000000001"/>
    <n v="7"/>
    <x v="2"/>
  </r>
  <r>
    <s v="347-34-2234"/>
    <x v="2"/>
    <s v="Mandalay"/>
    <s v="Member"/>
    <s v="Female"/>
    <x v="3"/>
    <n v="55.07"/>
    <n v="9"/>
    <n v="24.781500000000001"/>
    <n v="520.41150000000005"/>
    <d v="2019-02-03T00:00:00"/>
    <s v="1:40:00 PM"/>
    <s v="Ewallet"/>
    <n v="495.63"/>
    <n v="4.7619047620000003"/>
    <n v="24.781500000000001"/>
    <n v="10"/>
    <x v="2"/>
  </r>
  <r>
    <s v="199-75-8169"/>
    <x v="0"/>
    <s v="Yangon"/>
    <s v="Member"/>
    <s v="Female"/>
    <x v="3"/>
    <n v="15.81"/>
    <n v="10"/>
    <n v="7.9050000000000002"/>
    <n v="166.005"/>
    <d v="2019-03-06T00:00:00"/>
    <s v="12:27:00 PM"/>
    <s v="Credit card"/>
    <n v="158.1"/>
    <n v="4.7619047620000003"/>
    <n v="7.9050000000000002"/>
    <n v="8.6"/>
    <x v="1"/>
  </r>
  <r>
    <s v="853-23-2453"/>
    <x v="2"/>
    <s v="Mandalay"/>
    <s v="Member"/>
    <s v="Female"/>
    <x v="0"/>
    <n v="75.739999999999995"/>
    <n v="4"/>
    <n v="15.148"/>
    <n v="318.108"/>
    <d v="2019-02-14T00:00:00"/>
    <s v="2:35:00 PM"/>
    <s v="Cash"/>
    <n v="302.95999999999998"/>
    <n v="4.7619047620000003"/>
    <n v="15.148"/>
    <n v="7.6"/>
    <x v="2"/>
  </r>
  <r>
    <s v="877-22-3308"/>
    <x v="0"/>
    <s v="Yangon"/>
    <s v="Member"/>
    <s v="Female"/>
    <x v="0"/>
    <n v="15.87"/>
    <n v="10"/>
    <n v="7.9349999999999996"/>
    <n v="166.63499999999999"/>
    <d v="2019-03-13T00:00:00"/>
    <s v="4:40:00 PM"/>
    <s v="Cash"/>
    <n v="158.69999999999999"/>
    <n v="4.7619047620000003"/>
    <n v="7.9349999999999996"/>
    <n v="5.8"/>
    <x v="1"/>
  </r>
  <r>
    <s v="838-78-4295"/>
    <x v="1"/>
    <s v="Naypyitaw"/>
    <s v="Member"/>
    <s v="Female"/>
    <x v="0"/>
    <n v="33.47"/>
    <n v="2"/>
    <n v="3.347"/>
    <n v="70.287000000000006"/>
    <d v="2019-02-10T00:00:00"/>
    <s v="3:43:00 PM"/>
    <s v="Ewallet"/>
    <n v="66.94"/>
    <n v="4.7619047620000003"/>
    <n v="3.347"/>
    <n v="6.7"/>
    <x v="2"/>
  </r>
  <r>
    <s v="109-28-2512"/>
    <x v="2"/>
    <s v="Mandalay"/>
    <s v="Member"/>
    <s v="Female"/>
    <x v="5"/>
    <n v="97.61"/>
    <n v="6"/>
    <n v="29.283000000000001"/>
    <n v="614.94299999999998"/>
    <d v="2019-01-07T00:00:00"/>
    <s v="3:01:00 PM"/>
    <s v="Ewallet"/>
    <n v="585.66"/>
    <n v="4.7619047620000003"/>
    <n v="29.283000000000001"/>
    <n v="9.9"/>
    <x v="0"/>
  </r>
  <r>
    <s v="232-11-3025"/>
    <x v="0"/>
    <s v="Yangon"/>
    <s v="Member"/>
    <s v="Female"/>
    <x v="3"/>
    <n v="78.77"/>
    <n v="10"/>
    <n v="39.384999999999998"/>
    <n v="827.08500000000004"/>
    <d v="2019-01-24T00:00:00"/>
    <s v="10:04:00 AM"/>
    <s v="Cash"/>
    <n v="787.7"/>
    <n v="4.7619047620000003"/>
    <n v="39.384999999999998"/>
    <n v="6.4"/>
    <x v="0"/>
  </r>
  <r>
    <s v="382-03-4532"/>
    <x v="0"/>
    <s v="Yangon"/>
    <s v="Member"/>
    <s v="Female"/>
    <x v="0"/>
    <n v="18.329999999999998"/>
    <n v="1"/>
    <n v="0.91649999999999998"/>
    <n v="19.246500000000001"/>
    <d v="2019-02-02T00:00:00"/>
    <s v="6:50:00 PM"/>
    <s v="Cash"/>
    <n v="18.329999999999998"/>
    <n v="4.7619047620000003"/>
    <n v="0.91649999999999998"/>
    <n v="4.3"/>
    <x v="2"/>
  </r>
  <r>
    <s v="393-65-2792"/>
    <x v="1"/>
    <s v="Naypyitaw"/>
    <s v="Member"/>
    <s v="Female"/>
    <x v="4"/>
    <n v="89.48"/>
    <n v="10"/>
    <n v="44.74"/>
    <n v="939.54"/>
    <d v="2019-01-06T00:00:00"/>
    <s v="12:46:00 PM"/>
    <s v="Credit card"/>
    <n v="894.8"/>
    <n v="4.7619047620000003"/>
    <n v="44.74"/>
    <n v="9.6"/>
    <x v="0"/>
  </r>
  <r>
    <s v="796-12-2025"/>
    <x v="1"/>
    <s v="Naypyitaw"/>
    <s v="Member"/>
    <s v="Female"/>
    <x v="5"/>
    <n v="62.12"/>
    <n v="10"/>
    <n v="31.06"/>
    <n v="652.26"/>
    <d v="2019-02-11T00:00:00"/>
    <s v="4:19:00 PM"/>
    <s v="Cash"/>
    <n v="621.20000000000005"/>
    <n v="4.7619047620000003"/>
    <n v="31.06"/>
    <n v="5.9"/>
    <x v="2"/>
  </r>
  <r>
    <s v="510-95-6347"/>
    <x v="2"/>
    <s v="Mandalay"/>
    <s v="Member"/>
    <s v="Female"/>
    <x v="4"/>
    <n v="48.52"/>
    <n v="3"/>
    <n v="7.2779999999999996"/>
    <n v="152.83799999999999"/>
    <d v="2019-03-05T00:00:00"/>
    <s v="6:17:00 PM"/>
    <s v="Ewallet"/>
    <n v="145.56"/>
    <n v="4.7619047620000003"/>
    <n v="7.2779999999999996"/>
    <n v="4"/>
    <x v="1"/>
  </r>
  <r>
    <s v="841-35-6630"/>
    <x v="1"/>
    <s v="Naypyitaw"/>
    <s v="Member"/>
    <s v="Female"/>
    <x v="1"/>
    <n v="75.91"/>
    <n v="6"/>
    <n v="22.773"/>
    <n v="478.233"/>
    <d v="2019-03-09T00:00:00"/>
    <s v="6:21:00 PM"/>
    <s v="Cash"/>
    <n v="455.46"/>
    <n v="4.7619047620000003"/>
    <n v="22.773"/>
    <n v="8.6999999999999993"/>
    <x v="1"/>
  </r>
  <r>
    <s v="287-21-9091"/>
    <x v="0"/>
    <s v="Yangon"/>
    <s v="Member"/>
    <s v="Female"/>
    <x v="2"/>
    <n v="74.67"/>
    <n v="9"/>
    <n v="33.601500000000001"/>
    <n v="705.63149999999996"/>
    <d v="2019-01-22T00:00:00"/>
    <s v="10:55:00 AM"/>
    <s v="Ewallet"/>
    <n v="672.03"/>
    <n v="4.7619047620000003"/>
    <n v="33.601500000000001"/>
    <n v="9.4"/>
    <x v="0"/>
  </r>
  <r>
    <s v="732-94-0499"/>
    <x v="1"/>
    <s v="Naypyitaw"/>
    <s v="Member"/>
    <s v="Female"/>
    <x v="1"/>
    <n v="41.65"/>
    <n v="10"/>
    <n v="20.824999999999999"/>
    <n v="437.32499999999999"/>
    <d v="2019-01-13T00:00:00"/>
    <s v="5:04:00 PM"/>
    <s v="Credit card"/>
    <n v="416.5"/>
    <n v="4.7619047620000003"/>
    <n v="20.824999999999999"/>
    <n v="5.4"/>
    <x v="0"/>
  </r>
  <r>
    <s v="263-10-3913"/>
    <x v="1"/>
    <s v="Naypyitaw"/>
    <s v="Member"/>
    <s v="Female"/>
    <x v="5"/>
    <n v="49.04"/>
    <n v="9"/>
    <n v="22.068000000000001"/>
    <n v="463.428"/>
    <d v="2019-01-09T00:00:00"/>
    <s v="2:20:00 PM"/>
    <s v="Credit card"/>
    <n v="441.36"/>
    <n v="4.7619047620000003"/>
    <n v="22.068000000000001"/>
    <n v="8.6"/>
    <x v="0"/>
  </r>
  <r>
    <s v="381-20-0914"/>
    <x v="0"/>
    <s v="Yangon"/>
    <s v="Member"/>
    <s v="Female"/>
    <x v="5"/>
    <n v="20.010000000000002"/>
    <n v="9"/>
    <n v="9.0045000000000002"/>
    <n v="189.09450000000001"/>
    <d v="2019-01-12T00:00:00"/>
    <s v="3:48:00 PM"/>
    <s v="Credit card"/>
    <n v="180.09"/>
    <n v="4.7619047620000003"/>
    <n v="9.0045000000000002"/>
    <n v="5.7"/>
    <x v="0"/>
  </r>
  <r>
    <s v="829-49-1914"/>
    <x v="1"/>
    <s v="Naypyitaw"/>
    <s v="Member"/>
    <s v="Female"/>
    <x v="4"/>
    <n v="78.31"/>
    <n v="10"/>
    <n v="39.155000000000001"/>
    <n v="822.255"/>
    <d v="2019-03-05T00:00:00"/>
    <s v="4:24:00 PM"/>
    <s v="Ewallet"/>
    <n v="783.1"/>
    <n v="4.7619047620000003"/>
    <n v="39.155000000000001"/>
    <n v="6.6"/>
    <x v="1"/>
  </r>
  <r>
    <s v="756-01-7507"/>
    <x v="1"/>
    <s v="Naypyitaw"/>
    <s v="Member"/>
    <s v="Female"/>
    <x v="0"/>
    <n v="20.38"/>
    <n v="5"/>
    <n v="5.0949999999999998"/>
    <n v="106.995"/>
    <d v="2019-01-22T00:00:00"/>
    <s v="6:56:00 PM"/>
    <s v="Cash"/>
    <n v="101.9"/>
    <n v="4.7619047620000003"/>
    <n v="5.0949999999999998"/>
    <n v="6"/>
    <x v="0"/>
  </r>
  <r>
    <s v="870-72-4431"/>
    <x v="1"/>
    <s v="Naypyitaw"/>
    <s v="Member"/>
    <s v="Female"/>
    <x v="0"/>
    <n v="99.19"/>
    <n v="6"/>
    <n v="29.757000000000001"/>
    <n v="624.89700000000005"/>
    <d v="2019-01-21T00:00:00"/>
    <s v="2:42:00 PM"/>
    <s v="Credit card"/>
    <n v="595.14"/>
    <n v="4.7619047620000003"/>
    <n v="29.757000000000001"/>
    <n v="5.5"/>
    <x v="0"/>
  </r>
  <r>
    <s v="847-38-7188"/>
    <x v="2"/>
    <s v="Mandalay"/>
    <s v="Member"/>
    <s v="Female"/>
    <x v="4"/>
    <n v="96.68"/>
    <n v="3"/>
    <n v="14.502000000000001"/>
    <n v="304.54199999999997"/>
    <d v="2019-01-26T00:00:00"/>
    <s v="7:56:00 PM"/>
    <s v="Ewallet"/>
    <n v="290.04000000000002"/>
    <n v="4.7619047620000003"/>
    <n v="14.502000000000001"/>
    <n v="6.4"/>
    <x v="0"/>
  </r>
  <r>
    <s v="480-63-2856"/>
    <x v="1"/>
    <s v="Naypyitaw"/>
    <s v="Member"/>
    <s v="Female"/>
    <x v="4"/>
    <n v="19.25"/>
    <n v="8"/>
    <n v="7.7"/>
    <n v="161.69999999999999"/>
    <d v="2019-01-23T00:00:00"/>
    <s v="6:37:00 PM"/>
    <s v="Ewallet"/>
    <n v="154"/>
    <n v="4.7619047620000003"/>
    <n v="7.7"/>
    <n v="6.6"/>
    <x v="0"/>
  </r>
  <r>
    <s v="787-56-0757"/>
    <x v="1"/>
    <s v="Naypyitaw"/>
    <s v="Member"/>
    <s v="Female"/>
    <x v="4"/>
    <n v="80.36"/>
    <n v="4"/>
    <n v="16.071999999999999"/>
    <n v="337.512"/>
    <d v="2019-02-23T00:00:00"/>
    <s v="6:45:00 PM"/>
    <s v="Credit card"/>
    <n v="321.44"/>
    <n v="4.7619047620000003"/>
    <n v="16.071999999999999"/>
    <n v="8.3000000000000007"/>
    <x v="2"/>
  </r>
  <r>
    <s v="360-39-5055"/>
    <x v="1"/>
    <s v="Naypyitaw"/>
    <s v="Member"/>
    <s v="Female"/>
    <x v="3"/>
    <n v="48.91"/>
    <n v="5"/>
    <n v="12.227499999999999"/>
    <n v="256.77749999999997"/>
    <d v="2019-03-09T00:00:00"/>
    <s v="10:17:00 AM"/>
    <s v="Cash"/>
    <n v="244.55"/>
    <n v="4.7619047620000003"/>
    <n v="12.227499999999999"/>
    <n v="6.6"/>
    <x v="1"/>
  </r>
  <r>
    <s v="730-50-9884"/>
    <x v="1"/>
    <s v="Naypyitaw"/>
    <s v="Member"/>
    <s v="Female"/>
    <x v="3"/>
    <n v="83.06"/>
    <n v="7"/>
    <n v="29.071000000000002"/>
    <n v="610.49099999999999"/>
    <d v="2019-03-05T00:00:00"/>
    <s v="2:31:00 PM"/>
    <s v="Ewallet"/>
    <n v="581.41999999999996"/>
    <n v="4.7619047620000003"/>
    <n v="29.071000000000002"/>
    <n v="4"/>
    <x v="1"/>
  </r>
  <r>
    <s v="362-58-8315"/>
    <x v="1"/>
    <s v="Naypyitaw"/>
    <s v="Member"/>
    <s v="Female"/>
    <x v="5"/>
    <n v="76.52"/>
    <n v="5"/>
    <n v="19.13"/>
    <n v="401.73"/>
    <d v="2019-03-25T00:00:00"/>
    <s v="10:23:00 AM"/>
    <s v="Cash"/>
    <n v="382.6"/>
    <n v="4.7619047620000003"/>
    <n v="19.13"/>
    <n v="9.9"/>
    <x v="1"/>
  </r>
  <r>
    <s v="633-44-8566"/>
    <x v="0"/>
    <s v="Yangon"/>
    <s v="Member"/>
    <s v="Female"/>
    <x v="4"/>
    <n v="49.38"/>
    <n v="7"/>
    <n v="17.283000000000001"/>
    <n v="362.94299999999998"/>
    <d v="2019-03-27T00:00:00"/>
    <s v="8:35:00 PM"/>
    <s v="Credit card"/>
    <n v="345.66"/>
    <n v="4.7619047620000003"/>
    <n v="17.283000000000001"/>
    <n v="7.3"/>
    <x v="1"/>
  </r>
  <r>
    <s v="504-35-8843"/>
    <x v="0"/>
    <s v="Yangon"/>
    <s v="Member"/>
    <s v="Female"/>
    <x v="3"/>
    <n v="42.47"/>
    <n v="1"/>
    <n v="2.1234999999999999"/>
    <n v="44.593499999999999"/>
    <d v="2019-01-02T00:00:00"/>
    <s v="4:57:00 PM"/>
    <s v="Cash"/>
    <n v="42.47"/>
    <n v="4.7619047620000003"/>
    <n v="2.1234999999999999"/>
    <n v="5.7"/>
    <x v="0"/>
  </r>
  <r>
    <s v="318-68-5053"/>
    <x v="2"/>
    <s v="Mandalay"/>
    <s v="Member"/>
    <s v="Female"/>
    <x v="0"/>
    <n v="76.989999999999995"/>
    <n v="6"/>
    <n v="23.097000000000001"/>
    <n v="485.03699999999998"/>
    <d v="2019-02-27T00:00:00"/>
    <s v="5:55:00 PM"/>
    <s v="Cash"/>
    <n v="461.94"/>
    <n v="4.7619047620000003"/>
    <n v="23.097000000000001"/>
    <n v="6.1"/>
    <x v="2"/>
  </r>
  <r>
    <s v="565-80-5980"/>
    <x v="1"/>
    <s v="Naypyitaw"/>
    <s v="Member"/>
    <s v="Female"/>
    <x v="2"/>
    <n v="47.38"/>
    <n v="4"/>
    <n v="9.4760000000000009"/>
    <n v="198.99600000000001"/>
    <d v="2019-01-23T00:00:00"/>
    <s v="10:25:00 AM"/>
    <s v="Cash"/>
    <n v="189.52"/>
    <n v="4.7619047620000003"/>
    <n v="9.4760000000000009"/>
    <n v="7.1"/>
    <x v="0"/>
  </r>
  <r>
    <s v="225-32-0908"/>
    <x v="1"/>
    <s v="Naypyitaw"/>
    <s v="Member"/>
    <s v="Female"/>
    <x v="3"/>
    <n v="44.86"/>
    <n v="10"/>
    <n v="22.43"/>
    <n v="471.03"/>
    <d v="2019-01-26T00:00:00"/>
    <s v="7:54:00 PM"/>
    <s v="Ewallet"/>
    <n v="448.6"/>
    <n v="4.7619047620000003"/>
    <n v="22.43"/>
    <n v="8.1999999999999993"/>
    <x v="0"/>
  </r>
  <r>
    <s v="873-51-0671"/>
    <x v="0"/>
    <s v="Yangon"/>
    <s v="Member"/>
    <s v="Female"/>
    <x v="3"/>
    <n v="21.98"/>
    <n v="7"/>
    <n v="7.6929999999999996"/>
    <n v="161.553"/>
    <d v="2019-01-10T00:00:00"/>
    <s v="4:42:00 PM"/>
    <s v="Ewallet"/>
    <n v="153.86000000000001"/>
    <n v="4.7619047620000003"/>
    <n v="7.6929999999999996"/>
    <n v="5.0999999999999996"/>
    <x v="0"/>
  </r>
  <r>
    <s v="152-08-9985"/>
    <x v="2"/>
    <s v="Mandalay"/>
    <s v="Member"/>
    <s v="Female"/>
    <x v="0"/>
    <n v="64.36"/>
    <n v="9"/>
    <n v="28.962"/>
    <n v="608.202"/>
    <d v="2019-03-12T00:00:00"/>
    <s v="12:09:00 PM"/>
    <s v="Credit card"/>
    <n v="579.24"/>
    <n v="4.7619047620000003"/>
    <n v="28.962"/>
    <n v="8.6"/>
    <x v="1"/>
  </r>
  <r>
    <s v="512-91-0811"/>
    <x v="1"/>
    <s v="Naypyitaw"/>
    <s v="Member"/>
    <s v="Female"/>
    <x v="0"/>
    <n v="89.75"/>
    <n v="1"/>
    <n v="4.4874999999999998"/>
    <n v="94.237499999999997"/>
    <d v="2019-02-06T00:00:00"/>
    <s v="8:05:00 PM"/>
    <s v="Credit card"/>
    <n v="89.75"/>
    <n v="4.7619047620000003"/>
    <n v="4.4874999999999998"/>
    <n v="6.6"/>
    <x v="2"/>
  </r>
  <r>
    <s v="594-34-4444"/>
    <x v="0"/>
    <s v="Yangon"/>
    <s v="Member"/>
    <s v="Female"/>
    <x v="1"/>
    <n v="97.16"/>
    <n v="1"/>
    <n v="4.8579999999999997"/>
    <n v="102.018"/>
    <d v="2019-03-08T00:00:00"/>
    <s v="8:38:00 PM"/>
    <s v="Ewallet"/>
    <n v="97.16"/>
    <n v="4.7619047620000003"/>
    <n v="4.8579999999999997"/>
    <n v="7.2"/>
    <x v="1"/>
  </r>
  <r>
    <s v="766-85-7061"/>
    <x v="2"/>
    <s v="Mandalay"/>
    <s v="Member"/>
    <s v="Female"/>
    <x v="0"/>
    <n v="87.87"/>
    <n v="10"/>
    <n v="43.935000000000002"/>
    <n v="922.63499999999999"/>
    <d v="2019-03-29T00:00:00"/>
    <s v="10:25:00 AM"/>
    <s v="Ewallet"/>
    <n v="878.7"/>
    <n v="4.7619047620000003"/>
    <n v="43.935000000000002"/>
    <n v="5.0999999999999996"/>
    <x v="1"/>
  </r>
  <r>
    <s v="871-39-9221"/>
    <x v="1"/>
    <s v="Naypyitaw"/>
    <s v="Member"/>
    <s v="Female"/>
    <x v="1"/>
    <n v="12.45"/>
    <n v="6"/>
    <n v="3.7349999999999999"/>
    <n v="78.435000000000002"/>
    <d v="2019-02-09T00:00:00"/>
    <s v="1:11:00 PM"/>
    <s v="Cash"/>
    <n v="74.7"/>
    <n v="4.7619047620000003"/>
    <n v="3.7349999999999999"/>
    <n v="4.0999999999999996"/>
    <x v="2"/>
  </r>
  <r>
    <s v="865-92-6136"/>
    <x v="0"/>
    <s v="Yangon"/>
    <s v="Member"/>
    <s v="Female"/>
    <x v="4"/>
    <n v="52.75"/>
    <n v="3"/>
    <n v="7.9124999999999996"/>
    <n v="166.16249999999999"/>
    <d v="2019-03-23T00:00:00"/>
    <s v="10:16:00 AM"/>
    <s v="Ewallet"/>
    <n v="158.25"/>
    <n v="4.7619047620000003"/>
    <n v="7.9124999999999996"/>
    <n v="9.3000000000000007"/>
    <x v="1"/>
  </r>
  <r>
    <s v="733-01-9107"/>
    <x v="2"/>
    <s v="Mandalay"/>
    <s v="Member"/>
    <s v="Female"/>
    <x v="2"/>
    <n v="82.7"/>
    <n v="6"/>
    <n v="24.81"/>
    <n v="521.01"/>
    <d v="2019-03-05T00:00:00"/>
    <s v="6:14:00 PM"/>
    <s v="Cash"/>
    <n v="496.2"/>
    <n v="4.7619047620000003"/>
    <n v="24.81"/>
    <n v="7.4"/>
    <x v="1"/>
  </r>
  <r>
    <s v="163-56-7055"/>
    <x v="1"/>
    <s v="Naypyitaw"/>
    <s v="Member"/>
    <s v="Female"/>
    <x v="5"/>
    <n v="48.71"/>
    <n v="1"/>
    <n v="2.4355000000000002"/>
    <n v="51.145499999999998"/>
    <d v="2019-03-26T00:00:00"/>
    <s v="7:20:00 PM"/>
    <s v="Cash"/>
    <n v="48.71"/>
    <n v="4.7619047620000003"/>
    <n v="2.4355000000000002"/>
    <n v="4.0999999999999996"/>
    <x v="1"/>
  </r>
  <r>
    <s v="189-98-2939"/>
    <x v="1"/>
    <s v="Naypyitaw"/>
    <s v="Member"/>
    <s v="Female"/>
    <x v="5"/>
    <n v="78.55"/>
    <n v="9"/>
    <n v="35.347499999999997"/>
    <n v="742.29750000000001"/>
    <d v="2019-03-01T00:00:00"/>
    <s v="1:22:00 PM"/>
    <s v="Cash"/>
    <n v="706.95"/>
    <n v="4.7619047620000003"/>
    <n v="35.347499999999997"/>
    <n v="7.2"/>
    <x v="1"/>
  </r>
  <r>
    <s v="551-21-3069"/>
    <x v="1"/>
    <s v="Naypyitaw"/>
    <s v="Member"/>
    <s v="Female"/>
    <x v="1"/>
    <n v="23.07"/>
    <n v="9"/>
    <n v="10.381500000000001"/>
    <n v="218.01150000000001"/>
    <d v="2019-02-01T00:00:00"/>
    <s v="11:27:00 AM"/>
    <s v="Cash"/>
    <n v="207.63"/>
    <n v="4.7619047620000003"/>
    <n v="10.381500000000001"/>
    <n v="4.9000000000000004"/>
    <x v="2"/>
  </r>
  <r>
    <s v="212-62-1842"/>
    <x v="0"/>
    <s v="Yangon"/>
    <s v="Member"/>
    <s v="Female"/>
    <x v="4"/>
    <n v="58.26"/>
    <n v="6"/>
    <n v="17.478000000000002"/>
    <n v="367.03800000000001"/>
    <d v="2019-03-28T00:00:00"/>
    <s v="4:44:00 PM"/>
    <s v="Cash"/>
    <n v="349.56"/>
    <n v="4.7619047620000003"/>
    <n v="17.478000000000002"/>
    <n v="9.9"/>
    <x v="1"/>
  </r>
  <r>
    <s v="716-39-1409"/>
    <x v="2"/>
    <s v="Mandalay"/>
    <s v="Member"/>
    <s v="Female"/>
    <x v="0"/>
    <n v="30.35"/>
    <n v="7"/>
    <n v="10.6225"/>
    <n v="223.07249999999999"/>
    <d v="2019-03-19T00:00:00"/>
    <s v="6:19:00 PM"/>
    <s v="Cash"/>
    <n v="212.45"/>
    <n v="4.7619047620000003"/>
    <n v="10.6225"/>
    <n v="8"/>
    <x v="1"/>
  </r>
  <r>
    <s v="704-48-3927"/>
    <x v="0"/>
    <s v="Yangon"/>
    <s v="Member"/>
    <s v="Female"/>
    <x v="1"/>
    <n v="88.67"/>
    <n v="10"/>
    <n v="44.335000000000001"/>
    <n v="931.03499999999997"/>
    <d v="2019-01-12T00:00:00"/>
    <s v="2:50:00 PM"/>
    <s v="Ewallet"/>
    <n v="886.7"/>
    <n v="4.7619047620000003"/>
    <n v="44.335000000000001"/>
    <n v="7.3"/>
    <x v="0"/>
  </r>
  <r>
    <s v="628-34-3388"/>
    <x v="1"/>
    <s v="Naypyitaw"/>
    <s v="Member"/>
    <s v="Female"/>
    <x v="5"/>
    <n v="27.38"/>
    <n v="6"/>
    <n v="8.2140000000000004"/>
    <n v="172.494"/>
    <d v="2019-01-05T00:00:00"/>
    <s v="8:54:00 PM"/>
    <s v="Credit card"/>
    <n v="164.28"/>
    <n v="4.7619047620000003"/>
    <n v="8.2140000000000004"/>
    <n v="7.9"/>
    <x v="0"/>
  </r>
  <r>
    <s v="630-74-5166"/>
    <x v="0"/>
    <s v="Yangon"/>
    <s v="Member"/>
    <s v="Female"/>
    <x v="3"/>
    <n v="62.13"/>
    <n v="6"/>
    <n v="18.638999999999999"/>
    <n v="391.41899999999998"/>
    <d v="2019-03-22T00:00:00"/>
    <s v="8:19:00 PM"/>
    <s v="Cash"/>
    <n v="372.78"/>
    <n v="4.7619047620000003"/>
    <n v="18.638999999999999"/>
    <n v="7.4"/>
    <x v="1"/>
  </r>
  <r>
    <s v="588-01-7461"/>
    <x v="1"/>
    <s v="Naypyitaw"/>
    <s v="Member"/>
    <s v="Female"/>
    <x v="4"/>
    <n v="33.979999999999997"/>
    <n v="9"/>
    <n v="15.291"/>
    <n v="321.11099999999999"/>
    <d v="2019-03-24T00:00:00"/>
    <s v="10:43:00 AM"/>
    <s v="Cash"/>
    <n v="305.82"/>
    <n v="4.7619047620000003"/>
    <n v="15.291"/>
    <n v="4.2"/>
    <x v="1"/>
  </r>
  <r>
    <s v="861-77-0145"/>
    <x v="1"/>
    <s v="Naypyitaw"/>
    <s v="Member"/>
    <s v="Female"/>
    <x v="1"/>
    <n v="81.97"/>
    <n v="10"/>
    <n v="40.984999999999999"/>
    <n v="860.68499999999995"/>
    <d v="2019-03-03T00:00:00"/>
    <s v="2:30:00 PM"/>
    <s v="Cash"/>
    <n v="819.7"/>
    <n v="4.7619047620000003"/>
    <n v="40.984999999999999"/>
    <n v="9.1999999999999993"/>
    <x v="1"/>
  </r>
  <r>
    <s v="479-26-8945"/>
    <x v="2"/>
    <s v="Mandalay"/>
    <s v="Member"/>
    <s v="Female"/>
    <x v="3"/>
    <n v="16.489999999999998"/>
    <n v="2"/>
    <n v="1.649"/>
    <n v="34.628999999999998"/>
    <d v="2019-02-05T00:00:00"/>
    <s v="11:32:00 AM"/>
    <s v="Ewallet"/>
    <n v="32.979999999999997"/>
    <n v="4.7619047620000003"/>
    <n v="1.649"/>
    <n v="4.5999999999999996"/>
    <x v="2"/>
  </r>
  <r>
    <s v="210-67-5886"/>
    <x v="1"/>
    <s v="Naypyitaw"/>
    <s v="Member"/>
    <s v="Female"/>
    <x v="0"/>
    <n v="98.21"/>
    <n v="3"/>
    <n v="14.7315"/>
    <n v="309.36149999999998"/>
    <d v="2019-02-05T00:00:00"/>
    <s v="10:41:00 AM"/>
    <s v="Credit card"/>
    <n v="294.63"/>
    <n v="4.7619047620000003"/>
    <n v="14.7315"/>
    <n v="7.8"/>
    <x v="2"/>
  </r>
  <r>
    <s v="227-78-1148"/>
    <x v="2"/>
    <s v="Mandalay"/>
    <s v="Member"/>
    <s v="Female"/>
    <x v="5"/>
    <n v="72.84"/>
    <n v="7"/>
    <n v="25.494"/>
    <n v="535.37400000000002"/>
    <d v="2019-02-15T00:00:00"/>
    <s v="12:44:00 PM"/>
    <s v="Cash"/>
    <n v="509.88"/>
    <n v="4.7619047620000003"/>
    <n v="25.494"/>
    <n v="8.4"/>
    <x v="2"/>
  </r>
  <r>
    <s v="645-44-1170"/>
    <x v="0"/>
    <s v="Yangon"/>
    <s v="Member"/>
    <s v="Female"/>
    <x v="2"/>
    <n v="58.07"/>
    <n v="9"/>
    <n v="26.131499999999999"/>
    <n v="548.76149999999996"/>
    <d v="2019-01-19T00:00:00"/>
    <s v="8:07:00 PM"/>
    <s v="Ewallet"/>
    <n v="522.63"/>
    <n v="4.7619047620000003"/>
    <n v="26.131499999999999"/>
    <n v="4.3"/>
    <x v="0"/>
  </r>
  <r>
    <s v="237-01-6122"/>
    <x v="1"/>
    <s v="Naypyitaw"/>
    <s v="Member"/>
    <s v="Female"/>
    <x v="2"/>
    <n v="80.790000000000006"/>
    <n v="9"/>
    <n v="36.355499999999999"/>
    <n v="763.46550000000002"/>
    <d v="2019-02-01T00:00:00"/>
    <s v="8:31:00 PM"/>
    <s v="Credit card"/>
    <n v="727.11"/>
    <n v="4.7619047620000003"/>
    <n v="36.355499999999999"/>
    <n v="9.5"/>
    <x v="2"/>
  </r>
  <r>
    <s v="225-98-1496"/>
    <x v="1"/>
    <s v="Naypyitaw"/>
    <s v="Member"/>
    <s v="Female"/>
    <x v="5"/>
    <n v="27.02"/>
    <n v="3"/>
    <n v="4.0529999999999999"/>
    <n v="85.113"/>
    <d v="2019-03-02T00:00:00"/>
    <s v="1:01:00 PM"/>
    <s v="Credit card"/>
    <n v="81.06"/>
    <n v="4.7619047620000003"/>
    <n v="4.0529999999999999"/>
    <n v="7.1"/>
    <x v="1"/>
  </r>
  <r>
    <s v="291-32-1427"/>
    <x v="2"/>
    <s v="Mandalay"/>
    <s v="Member"/>
    <s v="Female"/>
    <x v="5"/>
    <n v="21.94"/>
    <n v="5"/>
    <n v="5.4850000000000003"/>
    <n v="115.185"/>
    <d v="2019-03-05T00:00:00"/>
    <s v="12:29:00 PM"/>
    <s v="Ewallet"/>
    <n v="109.7"/>
    <n v="4.7619047620000003"/>
    <n v="5.4850000000000003"/>
    <n v="5.3"/>
    <x v="1"/>
  </r>
  <r>
    <s v="659-65-8956"/>
    <x v="2"/>
    <s v="Mandalay"/>
    <s v="Member"/>
    <s v="Female"/>
    <x v="5"/>
    <n v="51.36"/>
    <n v="1"/>
    <n v="2.5680000000000001"/>
    <n v="53.927999999999997"/>
    <d v="2019-01-16T00:00:00"/>
    <s v="3:26:00 PM"/>
    <s v="Ewallet"/>
    <n v="51.36"/>
    <n v="4.7619047620000003"/>
    <n v="2.5680000000000001"/>
    <n v="5.2"/>
    <x v="0"/>
  </r>
  <r>
    <s v="642-32-2990"/>
    <x v="0"/>
    <s v="Yangon"/>
    <s v="Member"/>
    <s v="Female"/>
    <x v="4"/>
    <n v="10.96"/>
    <n v="10"/>
    <n v="5.48"/>
    <n v="115.08"/>
    <d v="2019-02-02T00:00:00"/>
    <s v="8:48:00 PM"/>
    <s v="Ewallet"/>
    <n v="109.6"/>
    <n v="4.7619047620000003"/>
    <n v="5.48"/>
    <n v="6"/>
    <x v="2"/>
  </r>
  <r>
    <s v="378-24-2715"/>
    <x v="2"/>
    <s v="Mandalay"/>
    <s v="Member"/>
    <s v="Female"/>
    <x v="2"/>
    <n v="53.44"/>
    <n v="2"/>
    <n v="5.3440000000000003"/>
    <n v="112.224"/>
    <d v="2019-01-20T00:00:00"/>
    <s v="8:38:00 PM"/>
    <s v="Ewallet"/>
    <n v="106.88"/>
    <n v="4.7619047620000003"/>
    <n v="5.3440000000000003"/>
    <n v="4.0999999999999996"/>
    <x v="0"/>
  </r>
  <r>
    <s v="638-60-7125"/>
    <x v="0"/>
    <s v="Yangon"/>
    <s v="Member"/>
    <s v="Female"/>
    <x v="1"/>
    <n v="99.56"/>
    <n v="8"/>
    <n v="39.823999999999998"/>
    <n v="836.30399999999997"/>
    <d v="2019-02-14T00:00:00"/>
    <s v="5:03:00 PM"/>
    <s v="Credit card"/>
    <n v="796.48"/>
    <n v="4.7619047620000003"/>
    <n v="39.823999999999998"/>
    <n v="5.2"/>
    <x v="2"/>
  </r>
  <r>
    <s v="659-36-1684"/>
    <x v="1"/>
    <s v="Naypyitaw"/>
    <s v="Member"/>
    <s v="Female"/>
    <x v="3"/>
    <n v="57.12"/>
    <n v="7"/>
    <n v="19.992000000000001"/>
    <n v="419.83199999999999"/>
    <d v="2019-01-12T00:00:00"/>
    <s v="12:02:00 PM"/>
    <s v="Credit card"/>
    <n v="399.84"/>
    <n v="4.7619047620000003"/>
    <n v="19.992000000000001"/>
    <n v="6.5"/>
    <x v="0"/>
  </r>
  <r>
    <s v="219-22-9386"/>
    <x v="2"/>
    <s v="Mandalay"/>
    <s v="Member"/>
    <s v="Female"/>
    <x v="3"/>
    <n v="99.96"/>
    <n v="9"/>
    <n v="44.981999999999999"/>
    <n v="944.62199999999996"/>
    <d v="2019-03-09T00:00:00"/>
    <s v="5:26:00 PM"/>
    <s v="Credit card"/>
    <n v="899.64"/>
    <n v="4.7619047620000003"/>
    <n v="44.981999999999999"/>
    <n v="4.2"/>
    <x v="1"/>
  </r>
  <r>
    <s v="336-78-2147"/>
    <x v="1"/>
    <s v="Naypyitaw"/>
    <s v="Member"/>
    <s v="Female"/>
    <x v="2"/>
    <n v="63.91"/>
    <n v="8"/>
    <n v="25.564"/>
    <n v="536.84400000000005"/>
    <d v="2019-03-13T00:00:00"/>
    <s v="7:52:00 PM"/>
    <s v="Credit card"/>
    <n v="511.28"/>
    <n v="4.7619047620000003"/>
    <n v="25.564"/>
    <n v="4.5999999999999996"/>
    <x v="1"/>
  </r>
  <r>
    <s v="268-27-6179"/>
    <x v="2"/>
    <s v="Mandalay"/>
    <s v="Member"/>
    <s v="Female"/>
    <x v="5"/>
    <n v="56.47"/>
    <n v="8"/>
    <n v="22.588000000000001"/>
    <n v="474.34800000000001"/>
    <d v="2019-03-09T00:00:00"/>
    <s v="2:57:00 PM"/>
    <s v="Ewallet"/>
    <n v="451.76"/>
    <n v="4.7619047620000003"/>
    <n v="22.588000000000001"/>
    <n v="7.3"/>
    <x v="1"/>
  </r>
  <r>
    <s v="668-90-8900"/>
    <x v="0"/>
    <s v="Yangon"/>
    <s v="Member"/>
    <s v="Female"/>
    <x v="2"/>
    <n v="93.69"/>
    <n v="7"/>
    <n v="32.791499999999999"/>
    <n v="688.62149999999997"/>
    <d v="2019-03-10T00:00:00"/>
    <s v="6:44:00 PM"/>
    <s v="Credit card"/>
    <n v="655.83"/>
    <n v="4.7619047620000003"/>
    <n v="32.791499999999999"/>
    <n v="4.5"/>
    <x v="1"/>
  </r>
  <r>
    <s v="870-54-3162"/>
    <x v="0"/>
    <s v="Yangon"/>
    <s v="Member"/>
    <s v="Female"/>
    <x v="3"/>
    <n v="32.25"/>
    <n v="5"/>
    <n v="8.0625"/>
    <n v="169.3125"/>
    <d v="2019-01-27T00:00:00"/>
    <s v="1:26:00 PM"/>
    <s v="Cash"/>
    <n v="161.25"/>
    <n v="4.7619047620000003"/>
    <n v="8.0625"/>
    <n v="9"/>
    <x v="0"/>
  </r>
  <r>
    <s v="189-08-9157"/>
    <x v="1"/>
    <s v="Naypyitaw"/>
    <s v="Member"/>
    <s v="Female"/>
    <x v="5"/>
    <n v="31.73"/>
    <n v="9"/>
    <n v="14.278499999999999"/>
    <n v="299.8485"/>
    <d v="2019-01-08T00:00:00"/>
    <s v="4:17:00 PM"/>
    <s v="Credit card"/>
    <n v="285.57"/>
    <n v="4.7619047620000003"/>
    <n v="14.278499999999999"/>
    <n v="5.9"/>
    <x v="0"/>
  </r>
  <r>
    <s v="663-86-9076"/>
    <x v="1"/>
    <s v="Naypyitaw"/>
    <s v="Member"/>
    <s v="Female"/>
    <x v="4"/>
    <n v="68.540000000000006"/>
    <n v="8"/>
    <n v="27.416"/>
    <n v="575.73599999999999"/>
    <d v="2019-01-08T00:00:00"/>
    <s v="3:57:00 PM"/>
    <s v="Ewallet"/>
    <n v="548.32000000000005"/>
    <n v="4.7619047620000003"/>
    <n v="27.416"/>
    <n v="8.5"/>
    <x v="0"/>
  </r>
  <r>
    <s v="549-84-7482"/>
    <x v="2"/>
    <s v="Mandalay"/>
    <s v="Member"/>
    <s v="Female"/>
    <x v="3"/>
    <n v="90.28"/>
    <n v="9"/>
    <n v="40.625999999999998"/>
    <n v="853.14599999999996"/>
    <d v="2019-02-08T00:00:00"/>
    <s v="11:15:00 AM"/>
    <s v="Ewallet"/>
    <n v="812.52"/>
    <n v="4.7619047620000003"/>
    <n v="40.625999999999998"/>
    <n v="7.2"/>
    <x v="2"/>
  </r>
  <r>
    <s v="191-10-6171"/>
    <x v="2"/>
    <s v="Mandalay"/>
    <s v="Normal"/>
    <s v="Female"/>
    <x v="5"/>
    <n v="39.619999999999997"/>
    <n v="7"/>
    <n v="13.867000000000001"/>
    <n v="291.20699999999999"/>
    <d v="2019-01-25T00:00:00"/>
    <s v="1:18:00 PM"/>
    <s v="Cash"/>
    <n v="277.33999999999997"/>
    <n v="4.7619047620000003"/>
    <n v="13.867000000000001"/>
    <n v="7.5"/>
    <x v="0"/>
  </r>
  <r>
    <s v="802-70-5316"/>
    <x v="0"/>
    <s v="Yangon"/>
    <s v="Member"/>
    <s v="Female"/>
    <x v="3"/>
    <n v="92.13"/>
    <n v="6"/>
    <n v="27.638999999999999"/>
    <n v="580.41899999999998"/>
    <d v="2019-03-06T00:00:00"/>
    <s v="8:34:00 PM"/>
    <s v="Cash"/>
    <n v="552.78"/>
    <n v="4.7619047620000003"/>
    <n v="27.638999999999999"/>
    <n v="8.3000000000000007"/>
    <x v="1"/>
  </r>
  <r>
    <s v="695-51-0018"/>
    <x v="2"/>
    <s v="Mandalay"/>
    <s v="Normal"/>
    <s v="Female"/>
    <x v="3"/>
    <n v="34.840000000000003"/>
    <n v="4"/>
    <n v="6.968"/>
    <n v="146.328"/>
    <d v="2019-02-10T00:00:00"/>
    <s v="6:36:00 PM"/>
    <s v="Cash"/>
    <n v="139.36000000000001"/>
    <n v="4.7619047620000003"/>
    <n v="6.968"/>
    <n v="7.4"/>
    <x v="2"/>
  </r>
  <r>
    <s v="590-83-4591"/>
    <x v="2"/>
    <s v="Mandalay"/>
    <s v="Member"/>
    <s v="Female"/>
    <x v="1"/>
    <n v="87.45"/>
    <n v="6"/>
    <n v="26.234999999999999"/>
    <n v="550.93499999999995"/>
    <d v="2019-02-17T00:00:00"/>
    <s v="2:40:00 PM"/>
    <s v="Credit card"/>
    <n v="524.70000000000005"/>
    <n v="4.7619047620000003"/>
    <n v="26.234999999999999"/>
    <n v="8.8000000000000007"/>
    <x v="2"/>
  </r>
  <r>
    <s v="483-71-1164"/>
    <x v="1"/>
    <s v="Naypyitaw"/>
    <s v="Normal"/>
    <s v="Female"/>
    <x v="0"/>
    <n v="81.3"/>
    <n v="6"/>
    <n v="24.39"/>
    <n v="512.19000000000005"/>
    <d v="2019-03-08T00:00:00"/>
    <s v="4:43:00 PM"/>
    <s v="Ewallet"/>
    <n v="487.8"/>
    <n v="4.7619047620000003"/>
    <n v="24.39"/>
    <n v="5.3"/>
    <x v="1"/>
  </r>
  <r>
    <s v="597-78-7908"/>
    <x v="1"/>
    <s v="Naypyitaw"/>
    <s v="Normal"/>
    <s v="Female"/>
    <x v="5"/>
    <n v="90.22"/>
    <n v="3"/>
    <n v="13.532999999999999"/>
    <n v="284.19299999999998"/>
    <d v="2019-02-18T00:00:00"/>
    <s v="7:39:00 PM"/>
    <s v="Cash"/>
    <n v="270.66000000000003"/>
    <n v="4.7619047620000003"/>
    <n v="13.532999999999999"/>
    <n v="6.2"/>
    <x v="2"/>
  </r>
  <r>
    <s v="700-81-1757"/>
    <x v="0"/>
    <s v="Yangon"/>
    <s v="Normal"/>
    <s v="Female"/>
    <x v="1"/>
    <n v="26.31"/>
    <n v="5"/>
    <n v="6.5774999999999997"/>
    <n v="138.1275"/>
    <d v="2019-01-18T00:00:00"/>
    <s v="8:59:00 PM"/>
    <s v="Credit card"/>
    <n v="131.55000000000001"/>
    <n v="4.7619047620000003"/>
    <n v="6.5774999999999997"/>
    <n v="8.8000000000000007"/>
    <x v="0"/>
  </r>
  <r>
    <s v="354-39-5160"/>
    <x v="0"/>
    <s v="Yangon"/>
    <s v="Member"/>
    <s v="Female"/>
    <x v="2"/>
    <n v="34.42"/>
    <n v="6"/>
    <n v="10.326000000000001"/>
    <n v="216.846"/>
    <d v="2019-02-18T00:00:00"/>
    <s v="3:39:00 PM"/>
    <s v="Cash"/>
    <n v="206.52"/>
    <n v="4.7619047620000003"/>
    <n v="10.326000000000001"/>
    <n v="9.8000000000000007"/>
    <x v="2"/>
  </r>
  <r>
    <s v="241-72-9525"/>
    <x v="2"/>
    <s v="Mandalay"/>
    <s v="Normal"/>
    <s v="Female"/>
    <x v="3"/>
    <n v="51.91"/>
    <n v="10"/>
    <n v="25.954999999999998"/>
    <n v="545.05499999999995"/>
    <d v="2019-02-16T00:00:00"/>
    <s v="12:21:00 PM"/>
    <s v="Cash"/>
    <n v="519.1"/>
    <n v="4.7619047620000003"/>
    <n v="25.954999999999998"/>
    <n v="8.1999999999999993"/>
    <x v="2"/>
  </r>
  <r>
    <s v="575-30-8091"/>
    <x v="0"/>
    <s v="Yangon"/>
    <s v="Normal"/>
    <s v="Female"/>
    <x v="3"/>
    <n v="72.5"/>
    <n v="8"/>
    <n v="29"/>
    <n v="609"/>
    <d v="2019-03-16T00:00:00"/>
    <s v="7:25:00 PM"/>
    <s v="Ewallet"/>
    <n v="580"/>
    <n v="4.7619047620000003"/>
    <n v="29"/>
    <n v="9.1999999999999993"/>
    <x v="1"/>
  </r>
  <r>
    <s v="731-81-9469"/>
    <x v="1"/>
    <s v="Naypyitaw"/>
    <s v="Member"/>
    <s v="Female"/>
    <x v="3"/>
    <n v="89.8"/>
    <n v="10"/>
    <n v="44.9"/>
    <n v="942.9"/>
    <d v="2019-01-23T00:00:00"/>
    <s v="1:00:00 PM"/>
    <s v="Credit card"/>
    <n v="898"/>
    <n v="4.7619047620000003"/>
    <n v="44.9"/>
    <n v="5.4"/>
    <x v="0"/>
  </r>
  <r>
    <s v="280-17-4359"/>
    <x v="1"/>
    <s v="Naypyitaw"/>
    <s v="Member"/>
    <s v="Male"/>
    <x v="0"/>
    <n v="90.5"/>
    <n v="10"/>
    <n v="45.25"/>
    <n v="950.25"/>
    <d v="2019-01-25T00:00:00"/>
    <s v="1:48:00 PM"/>
    <s v="Cash"/>
    <n v="905"/>
    <n v="4.7619047620000003"/>
    <n v="45.25"/>
    <n v="8.1"/>
    <x v="0"/>
  </r>
  <r>
    <s v="338-65-2210"/>
    <x v="1"/>
    <s v="Naypyitaw"/>
    <s v="Member"/>
    <s v="Female"/>
    <x v="0"/>
    <n v="68.599999999999994"/>
    <n v="10"/>
    <n v="34.299999999999997"/>
    <n v="720.3"/>
    <d v="2019-02-05T00:00:00"/>
    <s v="7:57:00 PM"/>
    <s v="Cash"/>
    <n v="686"/>
    <n v="4.7619047620000003"/>
    <n v="34.299999999999997"/>
    <n v="9.1"/>
    <x v="2"/>
  </r>
  <r>
    <s v="488-25-4221"/>
    <x v="1"/>
    <s v="Naypyitaw"/>
    <s v="Member"/>
    <s v="Female"/>
    <x v="4"/>
    <n v="30.41"/>
    <n v="1"/>
    <n v="1.5205"/>
    <n v="31.930499999999999"/>
    <d v="2019-02-22T00:00:00"/>
    <s v="10:36:00 AM"/>
    <s v="Credit card"/>
    <n v="30.41"/>
    <n v="4.7619047620000003"/>
    <n v="1.5205"/>
    <n v="8.4"/>
    <x v="2"/>
  </r>
  <r>
    <s v="239-10-7476"/>
    <x v="0"/>
    <s v="Yangon"/>
    <s v="Normal"/>
    <s v="Female"/>
    <x v="2"/>
    <n v="77.95"/>
    <n v="6"/>
    <n v="23.385000000000002"/>
    <n v="491.08499999999998"/>
    <d v="2019-01-21T00:00:00"/>
    <s v="4:37:00 PM"/>
    <s v="Ewallet"/>
    <n v="467.7"/>
    <n v="4.7619047620000003"/>
    <n v="23.385000000000002"/>
    <n v="8"/>
    <x v="0"/>
  </r>
  <r>
    <s v="458-41-1477"/>
    <x v="1"/>
    <s v="Naypyitaw"/>
    <s v="Normal"/>
    <s v="Female"/>
    <x v="0"/>
    <n v="46.26"/>
    <n v="6"/>
    <n v="13.878"/>
    <n v="291.43799999999999"/>
    <d v="2019-03-08T00:00:00"/>
    <s v="5:11:00 PM"/>
    <s v="Credit card"/>
    <n v="277.56"/>
    <n v="4.7619047620000003"/>
    <n v="13.878"/>
    <n v="9.5"/>
    <x v="1"/>
  </r>
  <r>
    <s v="685-64-1609"/>
    <x v="0"/>
    <s v="Yangon"/>
    <s v="Member"/>
    <s v="Female"/>
    <x v="5"/>
    <n v="30.14"/>
    <n v="10"/>
    <n v="15.07"/>
    <n v="316.47000000000003"/>
    <d v="2019-02-10T00:00:00"/>
    <s v="12:28:00 PM"/>
    <s v="Ewallet"/>
    <n v="301.39999999999998"/>
    <n v="4.7619047620000003"/>
    <n v="15.07"/>
    <n v="9.1999999999999993"/>
    <x v="2"/>
  </r>
  <r>
    <s v="568-90-5112"/>
    <x v="1"/>
    <s v="Naypyitaw"/>
    <s v="Normal"/>
    <s v="Male"/>
    <x v="0"/>
    <n v="66.14"/>
    <n v="4"/>
    <n v="13.228"/>
    <n v="277.78800000000001"/>
    <d v="2019-03-19T00:00:00"/>
    <s v="12:46:00 PM"/>
    <s v="Credit card"/>
    <n v="264.56"/>
    <n v="4.7619047620000003"/>
    <n v="13.228"/>
    <n v="5.6"/>
    <x v="1"/>
  </r>
  <r>
    <s v="262-47-2794"/>
    <x v="2"/>
    <s v="Mandalay"/>
    <s v="Member"/>
    <s v="Male"/>
    <x v="2"/>
    <n v="71.86"/>
    <n v="8"/>
    <n v="28.744"/>
    <n v="603.62400000000002"/>
    <d v="2019-03-06T00:00:00"/>
    <s v="3:07:00 PM"/>
    <s v="Credit card"/>
    <n v="574.88"/>
    <n v="4.7619047620000003"/>
    <n v="28.744"/>
    <n v="6.2"/>
    <x v="1"/>
  </r>
  <r>
    <s v="238-49-0436"/>
    <x v="0"/>
    <s v="Yangon"/>
    <s v="Normal"/>
    <s v="Male"/>
    <x v="0"/>
    <n v="32.46"/>
    <n v="8"/>
    <n v="12.984"/>
    <n v="272.66399999999999"/>
    <d v="2019-03-27T00:00:00"/>
    <s v="1:48:00 PM"/>
    <s v="Credit card"/>
    <n v="259.68"/>
    <n v="4.7619047620000003"/>
    <n v="12.984"/>
    <n v="4.9000000000000004"/>
    <x v="1"/>
  </r>
  <r>
    <s v="608-96-3517"/>
    <x v="2"/>
    <s v="Mandalay"/>
    <s v="Member"/>
    <s v="Female"/>
    <x v="5"/>
    <n v="91.54"/>
    <n v="4"/>
    <n v="18.308"/>
    <n v="384.46800000000002"/>
    <d v="2019-03-23T00:00:00"/>
    <s v="7:20:00 PM"/>
    <s v="Credit card"/>
    <n v="366.16"/>
    <n v="4.7619047620000003"/>
    <n v="18.308"/>
    <n v="4.8"/>
    <x v="1"/>
  </r>
  <r>
    <s v="584-86-7256"/>
    <x v="1"/>
    <s v="Naypyitaw"/>
    <s v="Member"/>
    <s v="Male"/>
    <x v="3"/>
    <n v="34.56"/>
    <n v="7"/>
    <n v="12.096"/>
    <n v="254.01599999999999"/>
    <d v="2019-03-11T00:00:00"/>
    <s v="4:07:00 PM"/>
    <s v="Credit card"/>
    <n v="241.92"/>
    <n v="4.7619047620000003"/>
    <n v="12.096"/>
    <n v="7.3"/>
    <x v="1"/>
  </r>
  <r>
    <s v="746-94-0204"/>
    <x v="0"/>
    <s v="Yangon"/>
    <s v="Normal"/>
    <s v="Male"/>
    <x v="5"/>
    <n v="83.24"/>
    <n v="9"/>
    <n v="37.457999999999998"/>
    <n v="786.61800000000005"/>
    <d v="2019-01-29T00:00:00"/>
    <s v="11:56:00 AM"/>
    <s v="Credit card"/>
    <n v="749.16"/>
    <n v="4.7619047620000003"/>
    <n v="37.457999999999998"/>
    <n v="7.4"/>
    <x v="0"/>
  </r>
  <r>
    <s v="214-17-6927"/>
    <x v="1"/>
    <s v="Naypyitaw"/>
    <s v="Normal"/>
    <s v="Female"/>
    <x v="4"/>
    <n v="16.48"/>
    <n v="6"/>
    <n v="4.944"/>
    <n v="103.824"/>
    <d v="2019-02-07T00:00:00"/>
    <s v="6:23:00 PM"/>
    <s v="Ewallet"/>
    <n v="98.88"/>
    <n v="4.7619047620000003"/>
    <n v="4.944"/>
    <n v="9.9"/>
    <x v="2"/>
  </r>
  <r>
    <s v="400-89-4171"/>
    <x v="1"/>
    <s v="Naypyitaw"/>
    <s v="Normal"/>
    <s v="Female"/>
    <x v="3"/>
    <n v="80.97"/>
    <n v="8"/>
    <n v="32.387999999999998"/>
    <n v="680.14800000000002"/>
    <d v="2019-01-28T00:00:00"/>
    <s v="1:05:00 PM"/>
    <s v="Cash"/>
    <n v="647.76"/>
    <n v="4.7619047620000003"/>
    <n v="32.387999999999998"/>
    <n v="9.3000000000000007"/>
    <x v="0"/>
  </r>
  <r>
    <s v="782-95-9291"/>
    <x v="0"/>
    <s v="Yangon"/>
    <s v="Member"/>
    <s v="Male"/>
    <x v="4"/>
    <n v="92.29"/>
    <n v="5"/>
    <n v="23.072500000000002"/>
    <n v="484.52249999999998"/>
    <d v="2019-02-20T00:00:00"/>
    <s v="3:55:00 PM"/>
    <s v="Credit card"/>
    <n v="461.45"/>
    <n v="4.7619047620000003"/>
    <n v="23.072500000000002"/>
    <n v="9"/>
    <x v="2"/>
  </r>
  <r>
    <s v="279-74-2924"/>
    <x v="2"/>
    <s v="Mandalay"/>
    <s v="Member"/>
    <s v="Male"/>
    <x v="1"/>
    <n v="72.17"/>
    <n v="1"/>
    <n v="3.6084999999999998"/>
    <n v="75.778499999999994"/>
    <d v="2019-01-04T00:00:00"/>
    <s v="7:40:00 PM"/>
    <s v="Cash"/>
    <n v="72.17"/>
    <n v="4.7619047620000003"/>
    <n v="3.6084999999999998"/>
    <n v="6.1"/>
    <x v="0"/>
  </r>
  <r>
    <s v="307-85-2293"/>
    <x v="2"/>
    <s v="Mandalay"/>
    <s v="Normal"/>
    <s v="Male"/>
    <x v="2"/>
    <n v="50.28"/>
    <n v="5"/>
    <n v="12.57"/>
    <n v="263.97000000000003"/>
    <d v="2019-03-07T00:00:00"/>
    <s v="1:58:00 PM"/>
    <s v="Ewallet"/>
    <n v="251.4"/>
    <n v="4.7619047620000003"/>
    <n v="12.57"/>
    <n v="9.6999999999999993"/>
    <x v="1"/>
  </r>
  <r>
    <s v="743-04-1105"/>
    <x v="2"/>
    <s v="Mandalay"/>
    <s v="Member"/>
    <s v="Male"/>
    <x v="0"/>
    <n v="97.22"/>
    <n v="9"/>
    <n v="43.749000000000002"/>
    <n v="918.72900000000004"/>
    <d v="2019-03-30T00:00:00"/>
    <s v="2:43:00 PM"/>
    <s v="Ewallet"/>
    <n v="874.98"/>
    <n v="4.7619047620000003"/>
    <n v="43.749000000000002"/>
    <n v="6"/>
    <x v="1"/>
  </r>
  <r>
    <s v="423-57-2993"/>
    <x v="2"/>
    <s v="Mandalay"/>
    <s v="Normal"/>
    <s v="Male"/>
    <x v="3"/>
    <n v="93.39"/>
    <n v="6"/>
    <n v="28.016999999999999"/>
    <n v="588.35699999999997"/>
    <d v="2019-03-27T00:00:00"/>
    <s v="7:18:00 PM"/>
    <s v="Ewallet"/>
    <n v="560.34"/>
    <n v="4.7619047620000003"/>
    <n v="28.016999999999999"/>
    <n v="10"/>
    <x v="1"/>
  </r>
  <r>
    <s v="894-41-5205"/>
    <x v="1"/>
    <s v="Naypyitaw"/>
    <s v="Normal"/>
    <s v="Female"/>
    <x v="4"/>
    <n v="43.18"/>
    <n v="8"/>
    <n v="17.271999999999998"/>
    <n v="362.71199999999999"/>
    <d v="2019-01-19T00:00:00"/>
    <s v="7:39:00 PM"/>
    <s v="Credit card"/>
    <n v="345.44"/>
    <n v="4.7619047620000003"/>
    <n v="17.271999999999998"/>
    <n v="8.3000000000000007"/>
    <x v="0"/>
  </r>
  <r>
    <s v="275-28-0149"/>
    <x v="0"/>
    <s v="Yangon"/>
    <s v="Normal"/>
    <s v="Male"/>
    <x v="3"/>
    <n v="63.69"/>
    <n v="1"/>
    <n v="3.1844999999999999"/>
    <n v="66.874499999999998"/>
    <d v="2019-02-25T00:00:00"/>
    <s v="4:21:00 PM"/>
    <s v="Cash"/>
    <n v="63.69"/>
    <n v="4.7619047620000003"/>
    <n v="3.1844999999999999"/>
    <n v="6"/>
    <x v="2"/>
  </r>
  <r>
    <s v="101-17-6199"/>
    <x v="0"/>
    <s v="Yangon"/>
    <s v="Normal"/>
    <s v="Male"/>
    <x v="4"/>
    <n v="45.79"/>
    <n v="7"/>
    <n v="16.026499999999999"/>
    <n v="336.55650000000003"/>
    <d v="2019-03-13T00:00:00"/>
    <s v="7:44:00 PM"/>
    <s v="Credit card"/>
    <n v="320.52999999999997"/>
    <n v="4.7619047620000003"/>
    <n v="16.026499999999999"/>
    <n v="7"/>
    <x v="1"/>
  </r>
  <r>
    <s v="423-80-0988"/>
    <x v="1"/>
    <s v="Naypyitaw"/>
    <s v="Normal"/>
    <s v="Male"/>
    <x v="3"/>
    <n v="76.400000000000006"/>
    <n v="2"/>
    <n v="7.64"/>
    <n v="160.44"/>
    <d v="2019-01-30T00:00:00"/>
    <s v="7:42:00 PM"/>
    <s v="Ewallet"/>
    <n v="152.80000000000001"/>
    <n v="4.7619047620000003"/>
    <n v="7.64"/>
    <n v="6.5"/>
    <x v="0"/>
  </r>
  <r>
    <s v="548-46-9322"/>
    <x v="2"/>
    <s v="Mandalay"/>
    <s v="Normal"/>
    <s v="Male"/>
    <x v="4"/>
    <n v="39.9"/>
    <n v="10"/>
    <n v="19.95"/>
    <n v="418.95"/>
    <d v="2019-02-20T00:00:00"/>
    <s v="3:24:00 PM"/>
    <s v="Credit card"/>
    <n v="399"/>
    <n v="4.7619047620000003"/>
    <n v="19.95"/>
    <n v="5.9"/>
    <x v="2"/>
  </r>
  <r>
    <s v="505-02-0892"/>
    <x v="2"/>
    <s v="Mandalay"/>
    <s v="Member"/>
    <s v="Male"/>
    <x v="0"/>
    <n v="42.57"/>
    <n v="8"/>
    <n v="17.027999999999999"/>
    <n v="357.58800000000002"/>
    <d v="2019-02-25T00:00:00"/>
    <s v="2:12:00 PM"/>
    <s v="Ewallet"/>
    <n v="340.56"/>
    <n v="4.7619047620000003"/>
    <n v="17.027999999999999"/>
    <n v="5.6"/>
    <x v="2"/>
  </r>
  <r>
    <s v="234-65-2137"/>
    <x v="1"/>
    <s v="Naypyitaw"/>
    <s v="Normal"/>
    <s v="Male"/>
    <x v="2"/>
    <n v="95.58"/>
    <n v="10"/>
    <n v="47.79"/>
    <n v="1003.59"/>
    <d v="2019-01-16T00:00:00"/>
    <s v="1:32:00 PM"/>
    <s v="Cash"/>
    <n v="955.8"/>
    <n v="4.7619047620000003"/>
    <n v="47.79"/>
    <n v="4.8"/>
    <x v="0"/>
  </r>
  <r>
    <s v="687-47-8271"/>
    <x v="0"/>
    <s v="Yangon"/>
    <s v="Normal"/>
    <s v="Male"/>
    <x v="5"/>
    <n v="98.98"/>
    <n v="10"/>
    <n v="49.49"/>
    <n v="1039.29"/>
    <d v="2019-02-08T00:00:00"/>
    <s v="4:20:00 PM"/>
    <s v="Credit card"/>
    <n v="989.8"/>
    <n v="4.7619047620000003"/>
    <n v="49.49"/>
    <n v="8.6999999999999993"/>
    <x v="2"/>
  </r>
  <r>
    <s v="796-32-9050"/>
    <x v="0"/>
    <s v="Yangon"/>
    <s v="Normal"/>
    <s v="Male"/>
    <x v="4"/>
    <n v="51.28"/>
    <n v="6"/>
    <n v="15.384"/>
    <n v="323.06400000000002"/>
    <d v="2019-01-19T00:00:00"/>
    <s v="4:31:00 PM"/>
    <s v="Cash"/>
    <n v="307.68"/>
    <n v="4.7619047620000003"/>
    <n v="15.384"/>
    <n v="6.5"/>
    <x v="0"/>
  </r>
  <r>
    <s v="105-31-1824"/>
    <x v="0"/>
    <s v="Yangon"/>
    <s v="Member"/>
    <s v="Male"/>
    <x v="3"/>
    <n v="69.52"/>
    <n v="7"/>
    <n v="24.332000000000001"/>
    <n v="510.97199999999998"/>
    <d v="2019-02-01T00:00:00"/>
    <s v="3:10:00 PM"/>
    <s v="Credit card"/>
    <n v="486.64"/>
    <n v="4.7619047620000003"/>
    <n v="24.332000000000001"/>
    <n v="8.5"/>
    <x v="2"/>
  </r>
  <r>
    <s v="249-42-3782"/>
    <x v="0"/>
    <s v="Yangon"/>
    <s v="Normal"/>
    <s v="Male"/>
    <x v="0"/>
    <n v="70.010000000000005"/>
    <n v="5"/>
    <n v="17.502500000000001"/>
    <n v="367.55250000000001"/>
    <d v="2019-01-03T00:00:00"/>
    <s v="11:36:00 AM"/>
    <s v="Ewallet"/>
    <n v="350.05"/>
    <n v="4.7619047620000003"/>
    <n v="17.502500000000001"/>
    <n v="5.5"/>
    <x v="0"/>
  </r>
  <r>
    <s v="316-55-4634"/>
    <x v="2"/>
    <s v="Mandalay"/>
    <s v="Member"/>
    <s v="Male"/>
    <x v="4"/>
    <n v="80.05"/>
    <n v="5"/>
    <n v="20.012499999999999"/>
    <n v="420.26249999999999"/>
    <d v="2019-01-26T00:00:00"/>
    <s v="12:45:00 PM"/>
    <s v="Credit card"/>
    <n v="400.25"/>
    <n v="4.7619047620000003"/>
    <n v="20.012499999999999"/>
    <n v="9.4"/>
    <x v="0"/>
  </r>
  <r>
    <s v="733-33-4967"/>
    <x v="1"/>
    <s v="Naypyitaw"/>
    <s v="Normal"/>
    <s v="Male"/>
    <x v="1"/>
    <n v="20.85"/>
    <n v="8"/>
    <n v="8.34"/>
    <n v="175.14"/>
    <d v="2019-03-03T00:00:00"/>
    <s v="7:17:00 PM"/>
    <s v="Cash"/>
    <n v="166.8"/>
    <n v="4.7619047620000003"/>
    <n v="8.34"/>
    <n v="6.3"/>
    <x v="1"/>
  </r>
  <r>
    <s v="608-27-6295"/>
    <x v="2"/>
    <s v="Mandalay"/>
    <s v="Member"/>
    <s v="Male"/>
    <x v="1"/>
    <n v="52.89"/>
    <n v="6"/>
    <n v="15.867000000000001"/>
    <n v="333.20699999999999"/>
    <d v="2019-01-19T00:00:00"/>
    <s v="5:34:00 PM"/>
    <s v="Credit card"/>
    <n v="317.33999999999997"/>
    <n v="4.7619047620000003"/>
    <n v="15.867000000000001"/>
    <n v="9.8000000000000007"/>
    <x v="0"/>
  </r>
  <r>
    <s v="414-12-7047"/>
    <x v="2"/>
    <s v="Mandalay"/>
    <s v="Normal"/>
    <s v="Male"/>
    <x v="4"/>
    <n v="19.79"/>
    <n v="8"/>
    <n v="7.9160000000000004"/>
    <n v="166.23599999999999"/>
    <d v="2019-01-18T00:00:00"/>
    <s v="12:04:00 PM"/>
    <s v="Ewallet"/>
    <n v="158.32"/>
    <n v="4.7619047620000003"/>
    <n v="7.9160000000000004"/>
    <n v="8.6999999999999993"/>
    <x v="0"/>
  </r>
  <r>
    <s v="827-26-2100"/>
    <x v="0"/>
    <s v="Yangon"/>
    <s v="Member"/>
    <s v="Male"/>
    <x v="2"/>
    <n v="33.840000000000003"/>
    <n v="9"/>
    <n v="15.228"/>
    <n v="319.78800000000001"/>
    <d v="2019-03-21T00:00:00"/>
    <s v="4:21:00 PM"/>
    <s v="Ewallet"/>
    <n v="304.56"/>
    <n v="4.7619047620000003"/>
    <n v="15.228"/>
    <n v="8.8000000000000007"/>
    <x v="1"/>
  </r>
  <r>
    <s v="175-54-2529"/>
    <x v="0"/>
    <s v="Yangon"/>
    <s v="Member"/>
    <s v="Male"/>
    <x v="4"/>
    <n v="22.17"/>
    <n v="8"/>
    <n v="8.8680000000000003"/>
    <n v="186.22800000000001"/>
    <d v="2019-03-03T00:00:00"/>
    <s v="5:01:00 PM"/>
    <s v="Credit card"/>
    <n v="177.36"/>
    <n v="4.7619047620000003"/>
    <n v="8.8680000000000003"/>
    <n v="9.6"/>
    <x v="1"/>
  </r>
  <r>
    <s v="139-52-2867"/>
    <x v="1"/>
    <s v="Naypyitaw"/>
    <s v="Normal"/>
    <s v="Female"/>
    <x v="5"/>
    <n v="22.51"/>
    <n v="7"/>
    <n v="7.8784999999999998"/>
    <n v="165.4485"/>
    <d v="2019-02-13T00:00:00"/>
    <s v="10:50:00 AM"/>
    <s v="Credit card"/>
    <n v="157.57"/>
    <n v="4.7619047620000003"/>
    <n v="7.8784999999999998"/>
    <n v="4.8"/>
    <x v="2"/>
  </r>
  <r>
    <s v="407-63-8975"/>
    <x v="0"/>
    <s v="Yangon"/>
    <s v="Normal"/>
    <s v="Male"/>
    <x v="4"/>
    <n v="73.88"/>
    <n v="6"/>
    <n v="22.164000000000001"/>
    <n v="465.44400000000002"/>
    <d v="2019-03-23T00:00:00"/>
    <s v="7:16:00 PM"/>
    <s v="Ewallet"/>
    <n v="443.28"/>
    <n v="4.7619047620000003"/>
    <n v="22.164000000000001"/>
    <n v="4.4000000000000004"/>
    <x v="1"/>
  </r>
  <r>
    <s v="342-65-4817"/>
    <x v="1"/>
    <s v="Naypyitaw"/>
    <s v="Member"/>
    <s v="Male"/>
    <x v="0"/>
    <n v="86.8"/>
    <n v="3"/>
    <n v="13.02"/>
    <n v="273.42"/>
    <d v="2019-01-28T00:00:00"/>
    <s v="4:47:00 PM"/>
    <s v="Ewallet"/>
    <n v="260.39999999999998"/>
    <n v="4.7619047620000003"/>
    <n v="13.02"/>
    <n v="9.9"/>
    <x v="0"/>
  </r>
  <r>
    <s v="130-98-8941"/>
    <x v="1"/>
    <s v="Naypyitaw"/>
    <s v="Normal"/>
    <s v="Male"/>
    <x v="5"/>
    <n v="64.260000000000005"/>
    <n v="7"/>
    <n v="22.491"/>
    <n v="472.31099999999998"/>
    <d v="2019-02-09T00:00:00"/>
    <s v="10:00:00 AM"/>
    <s v="Cash"/>
    <n v="449.82"/>
    <n v="4.7619047620000003"/>
    <n v="22.491"/>
    <n v="5.7"/>
    <x v="2"/>
  </r>
  <r>
    <s v="434-83-9547"/>
    <x v="1"/>
    <s v="Naypyitaw"/>
    <s v="Member"/>
    <s v="Male"/>
    <x v="4"/>
    <n v="38.47"/>
    <n v="8"/>
    <n v="15.388"/>
    <n v="323.14800000000002"/>
    <d v="2019-01-23T00:00:00"/>
    <s v="11:51:00 AM"/>
    <s v="Cash"/>
    <n v="307.76"/>
    <n v="4.7619047620000003"/>
    <n v="15.388"/>
    <n v="7.7"/>
    <x v="0"/>
  </r>
  <r>
    <s v="851-28-6367"/>
    <x v="0"/>
    <s v="Yangon"/>
    <s v="Member"/>
    <s v="Male"/>
    <x v="3"/>
    <n v="15.5"/>
    <n v="10"/>
    <n v="7.75"/>
    <n v="162.75"/>
    <d v="2019-03-23T00:00:00"/>
    <s v="10:55:00 AM"/>
    <s v="Ewallet"/>
    <n v="155"/>
    <n v="4.7619047620000003"/>
    <n v="7.75"/>
    <n v="8"/>
    <x v="1"/>
  </r>
  <r>
    <s v="824-88-3614"/>
    <x v="1"/>
    <s v="Naypyitaw"/>
    <s v="Normal"/>
    <s v="Male"/>
    <x v="0"/>
    <n v="34.31"/>
    <n v="8"/>
    <n v="13.724"/>
    <n v="288.20400000000001"/>
    <d v="2019-01-25T00:00:00"/>
    <s v="3:00:00 PM"/>
    <s v="Ewallet"/>
    <n v="274.48"/>
    <n v="4.7619047620000003"/>
    <n v="13.724"/>
    <n v="5.7"/>
    <x v="0"/>
  </r>
  <r>
    <s v="586-25-0848"/>
    <x v="0"/>
    <s v="Yangon"/>
    <s v="Normal"/>
    <s v="Female"/>
    <x v="3"/>
    <n v="12.34"/>
    <n v="7"/>
    <n v="4.319"/>
    <n v="90.698999999999998"/>
    <d v="2019-03-04T00:00:00"/>
    <s v="11:19:00 AM"/>
    <s v="Credit card"/>
    <n v="86.38"/>
    <n v="4.7619047620000003"/>
    <n v="4.319"/>
    <n v="6.7"/>
    <x v="1"/>
  </r>
  <r>
    <s v="895-66-0685"/>
    <x v="2"/>
    <s v="Mandalay"/>
    <s v="Member"/>
    <s v="Male"/>
    <x v="4"/>
    <n v="18.079999999999998"/>
    <n v="3"/>
    <n v="2.7120000000000002"/>
    <n v="56.951999999999998"/>
    <d v="2019-03-05T00:00:00"/>
    <s v="7:46:00 PM"/>
    <s v="Ewallet"/>
    <n v="54.24"/>
    <n v="4.7619047620000003"/>
    <n v="2.7120000000000002"/>
    <n v="8"/>
    <x v="1"/>
  </r>
  <r>
    <s v="305-14-0245"/>
    <x v="2"/>
    <s v="Mandalay"/>
    <s v="Member"/>
    <s v="Female"/>
    <x v="2"/>
    <n v="94.49"/>
    <n v="8"/>
    <n v="37.795999999999999"/>
    <n v="793.71600000000001"/>
    <d v="2019-03-03T00:00:00"/>
    <s v="7:00:00 PM"/>
    <s v="Ewallet"/>
    <n v="755.92"/>
    <n v="4.7619047620000003"/>
    <n v="37.795999999999999"/>
    <n v="7.5"/>
    <x v="1"/>
  </r>
  <r>
    <s v="732-04-5373"/>
    <x v="2"/>
    <s v="Mandalay"/>
    <s v="Member"/>
    <s v="Male"/>
    <x v="2"/>
    <n v="46.47"/>
    <n v="4"/>
    <n v="9.2940000000000005"/>
    <n v="195.17400000000001"/>
    <d v="2019-02-08T00:00:00"/>
    <s v="10:53:00 AM"/>
    <s v="Cash"/>
    <n v="185.88"/>
    <n v="4.7619047620000003"/>
    <n v="9.2940000000000005"/>
    <n v="7"/>
    <x v="2"/>
  </r>
  <r>
    <s v="400-60-7251"/>
    <x v="0"/>
    <s v="Yangon"/>
    <s v="Normal"/>
    <s v="Male"/>
    <x v="2"/>
    <n v="74.069999999999993"/>
    <n v="1"/>
    <n v="3.7035"/>
    <n v="77.773499999999999"/>
    <d v="2019-02-10T00:00:00"/>
    <s v="12:50:00 PM"/>
    <s v="Ewallet"/>
    <n v="74.069999999999993"/>
    <n v="4.7619047620000003"/>
    <n v="3.7035"/>
    <n v="9.9"/>
    <x v="2"/>
  </r>
  <r>
    <s v="593-65-1552"/>
    <x v="1"/>
    <s v="Naypyitaw"/>
    <s v="Normal"/>
    <s v="Female"/>
    <x v="2"/>
    <n v="69.81"/>
    <n v="4"/>
    <n v="13.962"/>
    <n v="293.202"/>
    <d v="2019-01-28T00:00:00"/>
    <s v="8:50:00 PM"/>
    <s v="Credit card"/>
    <n v="279.24"/>
    <n v="4.7619047620000003"/>
    <n v="13.962"/>
    <n v="5.9"/>
    <x v="0"/>
  </r>
  <r>
    <s v="284-34-9626"/>
    <x v="2"/>
    <s v="Mandalay"/>
    <s v="Normal"/>
    <s v="Female"/>
    <x v="2"/>
    <n v="77.040000000000006"/>
    <n v="3"/>
    <n v="11.555999999999999"/>
    <n v="242.67599999999999"/>
    <d v="2019-02-11T00:00:00"/>
    <s v="10:39:00 AM"/>
    <s v="Credit card"/>
    <n v="231.12"/>
    <n v="4.7619047620000003"/>
    <n v="11.555999999999999"/>
    <n v="7.2"/>
    <x v="2"/>
  </r>
  <r>
    <s v="437-58-8131"/>
    <x v="2"/>
    <s v="Mandalay"/>
    <s v="Normal"/>
    <s v="Female"/>
    <x v="5"/>
    <n v="73.52"/>
    <n v="2"/>
    <n v="7.3520000000000003"/>
    <n v="154.392"/>
    <d v="2019-01-15T00:00:00"/>
    <s v="1:41:00 PM"/>
    <s v="Ewallet"/>
    <n v="147.04"/>
    <n v="4.7619047620000003"/>
    <n v="7.3520000000000003"/>
    <n v="4.5999999999999996"/>
    <x v="0"/>
  </r>
  <r>
    <s v="286-43-6208"/>
    <x v="1"/>
    <s v="Naypyitaw"/>
    <s v="Normal"/>
    <s v="Female"/>
    <x v="4"/>
    <n v="87.8"/>
    <n v="9"/>
    <n v="39.51"/>
    <n v="829.71"/>
    <d v="2019-03-16T00:00:00"/>
    <s v="7:08:00 PM"/>
    <s v="Cash"/>
    <n v="790.2"/>
    <n v="4.7619047620000003"/>
    <n v="39.51"/>
    <n v="9.1999999999999993"/>
    <x v="1"/>
  </r>
  <r>
    <s v="641-43-2399"/>
    <x v="2"/>
    <s v="Mandalay"/>
    <s v="Normal"/>
    <s v="Male"/>
    <x v="2"/>
    <n v="25.55"/>
    <n v="4"/>
    <n v="5.1100000000000003"/>
    <n v="107.31"/>
    <d v="2019-01-26T00:00:00"/>
    <s v="8:23:00 PM"/>
    <s v="Ewallet"/>
    <n v="102.2"/>
    <n v="4.7619047620000003"/>
    <n v="5.1100000000000003"/>
    <n v="5.7"/>
    <x v="0"/>
  </r>
  <r>
    <s v="831-07-6050"/>
    <x v="0"/>
    <s v="Yangon"/>
    <s v="Normal"/>
    <s v="Male"/>
    <x v="1"/>
    <n v="32.71"/>
    <n v="5"/>
    <n v="8.1775000000000002"/>
    <n v="171.72749999999999"/>
    <d v="2019-03-19T00:00:00"/>
    <s v="11:30:00 AM"/>
    <s v="Credit card"/>
    <n v="163.55000000000001"/>
    <n v="4.7619047620000003"/>
    <n v="8.1775000000000002"/>
    <n v="9.9"/>
    <x v="1"/>
  </r>
  <r>
    <s v="556-86-3144"/>
    <x v="1"/>
    <s v="Naypyitaw"/>
    <s v="Member"/>
    <s v="Female"/>
    <x v="5"/>
    <n v="74.290000000000006"/>
    <n v="1"/>
    <n v="3.7145000000000001"/>
    <n v="78.004499999999993"/>
    <d v="2019-01-13T00:00:00"/>
    <s v="7:30:00 PM"/>
    <s v="Cash"/>
    <n v="74.290000000000006"/>
    <n v="4.7619047620000003"/>
    <n v="3.7145000000000001"/>
    <n v="5"/>
    <x v="0"/>
  </r>
  <r>
    <s v="848-24-9445"/>
    <x v="1"/>
    <s v="Naypyitaw"/>
    <s v="Member"/>
    <s v="Male"/>
    <x v="0"/>
    <n v="43.7"/>
    <n v="2"/>
    <n v="4.37"/>
    <n v="91.77"/>
    <d v="2019-03-26T00:00:00"/>
    <s v="6:03:00 PM"/>
    <s v="Cash"/>
    <n v="87.4"/>
    <n v="4.7619047620000003"/>
    <n v="4.37"/>
    <n v="4.9000000000000004"/>
    <x v="1"/>
  </r>
  <r>
    <s v="856-22-8149"/>
    <x v="0"/>
    <s v="Yangon"/>
    <s v="Normal"/>
    <s v="Female"/>
    <x v="2"/>
    <n v="25.29"/>
    <n v="1"/>
    <n v="1.2645"/>
    <n v="26.554500000000001"/>
    <d v="2019-03-23T00:00:00"/>
    <s v="10:13:00 AM"/>
    <s v="Ewallet"/>
    <n v="25.29"/>
    <n v="4.7619047620000003"/>
    <n v="1.2645"/>
    <n v="6.1"/>
    <x v="1"/>
  </r>
  <r>
    <s v="699-01-4164"/>
    <x v="1"/>
    <s v="Naypyitaw"/>
    <s v="Normal"/>
    <s v="Male"/>
    <x v="0"/>
    <n v="41.5"/>
    <n v="4"/>
    <n v="8.3000000000000007"/>
    <n v="174.3"/>
    <d v="2019-03-12T00:00:00"/>
    <s v="7:58:00 PM"/>
    <s v="Credit card"/>
    <n v="166"/>
    <n v="4.7619047620000003"/>
    <n v="8.3000000000000007"/>
    <n v="8.1999999999999993"/>
    <x v="1"/>
  </r>
  <r>
    <s v="420-11-4919"/>
    <x v="1"/>
    <s v="Naypyitaw"/>
    <s v="Member"/>
    <s v="Female"/>
    <x v="4"/>
    <n v="71.39"/>
    <n v="5"/>
    <n v="17.8475"/>
    <n v="374.79750000000001"/>
    <d v="2019-02-17T00:00:00"/>
    <s v="7:57:00 PM"/>
    <s v="Credit card"/>
    <n v="356.95"/>
    <n v="4.7619047620000003"/>
    <n v="17.8475"/>
    <n v="5.5"/>
    <x v="2"/>
  </r>
  <r>
    <s v="606-80-4905"/>
    <x v="1"/>
    <s v="Naypyitaw"/>
    <s v="Member"/>
    <s v="Female"/>
    <x v="3"/>
    <n v="19.149999999999999"/>
    <n v="6"/>
    <n v="5.7450000000000001"/>
    <n v="120.645"/>
    <d v="2019-01-29T00:00:00"/>
    <s v="10:01:00 AM"/>
    <s v="Credit card"/>
    <n v="114.9"/>
    <n v="4.7619047620000003"/>
    <n v="5.7450000000000001"/>
    <n v="6.8"/>
    <x v="0"/>
  </r>
  <r>
    <s v="542-41-0513"/>
    <x v="2"/>
    <s v="Mandalay"/>
    <s v="Member"/>
    <s v="Female"/>
    <x v="1"/>
    <n v="57.49"/>
    <n v="4"/>
    <n v="11.497999999999999"/>
    <n v="241.458"/>
    <d v="2019-03-15T00:00:00"/>
    <s v="11:57:00 AM"/>
    <s v="Cash"/>
    <n v="229.96"/>
    <n v="4.7619047620000003"/>
    <n v="11.497999999999999"/>
    <n v="6.6"/>
    <x v="1"/>
  </r>
  <r>
    <s v="426-39-2418"/>
    <x v="1"/>
    <s v="Naypyitaw"/>
    <s v="Normal"/>
    <s v="Male"/>
    <x v="1"/>
    <n v="61.41"/>
    <n v="7"/>
    <n v="21.493500000000001"/>
    <n v="451.36349999999999"/>
    <d v="2019-01-14T00:00:00"/>
    <s v="10:02:00 AM"/>
    <s v="Cash"/>
    <n v="429.87"/>
    <n v="4.7619047620000003"/>
    <n v="21.493500000000001"/>
    <n v="9.8000000000000007"/>
    <x v="0"/>
  </r>
  <r>
    <s v="875-46-5808"/>
    <x v="2"/>
    <s v="Mandalay"/>
    <s v="Member"/>
    <s v="Male"/>
    <x v="0"/>
    <n v="25.9"/>
    <n v="10"/>
    <n v="12.95"/>
    <n v="271.95"/>
    <d v="2019-02-06T00:00:00"/>
    <s v="2:51:00 PM"/>
    <s v="Ewallet"/>
    <n v="259"/>
    <n v="4.7619047620000003"/>
    <n v="12.95"/>
    <n v="8.6999999999999993"/>
    <x v="2"/>
  </r>
  <r>
    <s v="394-43-4238"/>
    <x v="2"/>
    <s v="Mandalay"/>
    <s v="Member"/>
    <s v="Male"/>
    <x v="2"/>
    <n v="17.77"/>
    <n v="5"/>
    <n v="4.4424999999999999"/>
    <n v="93.292500000000004"/>
    <d v="2019-02-15T00:00:00"/>
    <s v="12:42:00 PM"/>
    <s v="Credit card"/>
    <n v="88.85"/>
    <n v="4.7619047620000003"/>
    <n v="4.4424999999999999"/>
    <n v="5.4"/>
    <x v="2"/>
  </r>
  <r>
    <s v="749-24-1565"/>
    <x v="0"/>
    <s v="Yangon"/>
    <s v="Normal"/>
    <s v="Female"/>
    <x v="0"/>
    <n v="23.03"/>
    <n v="9"/>
    <n v="10.3635"/>
    <n v="217.6335"/>
    <d v="2019-01-03T00:00:00"/>
    <s v="12:02:00 PM"/>
    <s v="Ewallet"/>
    <n v="207.27"/>
    <n v="4.7619047620000003"/>
    <n v="10.3635"/>
    <n v="7.9"/>
    <x v="0"/>
  </r>
  <r>
    <s v="672-51-8681"/>
    <x v="1"/>
    <s v="Naypyitaw"/>
    <s v="Member"/>
    <s v="Female"/>
    <x v="1"/>
    <n v="66.650000000000006"/>
    <n v="9"/>
    <n v="29.9925"/>
    <n v="629.84249999999997"/>
    <d v="2019-01-04T00:00:00"/>
    <s v="6:19:00 PM"/>
    <s v="Credit card"/>
    <n v="599.85"/>
    <n v="4.7619047620000003"/>
    <n v="29.9925"/>
    <n v="9.6999999999999993"/>
    <x v="0"/>
  </r>
  <r>
    <s v="263-87-5680"/>
    <x v="1"/>
    <s v="Naypyitaw"/>
    <s v="Member"/>
    <s v="Female"/>
    <x v="2"/>
    <n v="28.53"/>
    <n v="10"/>
    <n v="14.265000000000001"/>
    <n v="299.565"/>
    <d v="2019-03-18T00:00:00"/>
    <s v="5:38:00 PM"/>
    <s v="Ewallet"/>
    <n v="285.3"/>
    <n v="4.7619047620000003"/>
    <n v="14.265000000000001"/>
    <n v="7.8"/>
    <x v="1"/>
  </r>
  <r>
    <s v="573-58-9734"/>
    <x v="2"/>
    <s v="Mandalay"/>
    <s v="Normal"/>
    <s v="Female"/>
    <x v="5"/>
    <n v="30.37"/>
    <n v="3"/>
    <n v="4.5555000000000003"/>
    <n v="95.665499999999994"/>
    <d v="2019-03-28T00:00:00"/>
    <s v="1:41:00 PM"/>
    <s v="Ewallet"/>
    <n v="91.11"/>
    <n v="4.7619047620000003"/>
    <n v="4.5555000000000003"/>
    <n v="5.0999999999999996"/>
    <x v="1"/>
  </r>
  <r>
    <s v="817-69-8206"/>
    <x v="2"/>
    <s v="Mandalay"/>
    <s v="Normal"/>
    <s v="Female"/>
    <x v="1"/>
    <n v="99.73"/>
    <n v="9"/>
    <n v="44.878500000000003"/>
    <n v="942.44849999999997"/>
    <d v="2019-03-02T00:00:00"/>
    <s v="7:42:00 PM"/>
    <s v="Credit card"/>
    <n v="897.57"/>
    <n v="4.7619047620000003"/>
    <n v="44.878500000000003"/>
    <n v="6.5"/>
    <x v="1"/>
  </r>
  <r>
    <s v="888-02-0338"/>
    <x v="0"/>
    <s v="Yangon"/>
    <s v="Normal"/>
    <s v="Male"/>
    <x v="1"/>
    <n v="26.23"/>
    <n v="9"/>
    <n v="11.8035"/>
    <n v="247.87350000000001"/>
    <d v="2019-01-25T00:00:00"/>
    <s v="8:24:00 PM"/>
    <s v="Ewallet"/>
    <n v="236.07"/>
    <n v="4.7619047620000003"/>
    <n v="11.8035"/>
    <n v="5.9"/>
    <x v="0"/>
  </r>
  <r>
    <s v="677-11-0152"/>
    <x v="1"/>
    <s v="Naypyitaw"/>
    <s v="Normal"/>
    <s v="Female"/>
    <x v="4"/>
    <n v="93.26"/>
    <n v="9"/>
    <n v="41.966999999999999"/>
    <n v="881.30700000000002"/>
    <d v="2019-01-16T00:00:00"/>
    <s v="6:08:00 PM"/>
    <s v="Cash"/>
    <n v="839.34"/>
    <n v="4.7619047620000003"/>
    <n v="41.966999999999999"/>
    <n v="8.8000000000000007"/>
    <x v="0"/>
  </r>
  <r>
    <s v="142-63-6033"/>
    <x v="2"/>
    <s v="Mandalay"/>
    <s v="Normal"/>
    <s v="Male"/>
    <x v="2"/>
    <n v="92.36"/>
    <n v="5"/>
    <n v="23.09"/>
    <n v="484.89"/>
    <d v="2019-03-20T00:00:00"/>
    <s v="7:17:00 PM"/>
    <s v="Ewallet"/>
    <n v="461.8"/>
    <n v="4.7619047620000003"/>
    <n v="23.09"/>
    <n v="4.9000000000000004"/>
    <x v="1"/>
  </r>
  <r>
    <s v="656-16-1063"/>
    <x v="2"/>
    <s v="Mandalay"/>
    <s v="Normal"/>
    <s v="Male"/>
    <x v="3"/>
    <n v="46.42"/>
    <n v="3"/>
    <n v="6.9630000000000001"/>
    <n v="146.22300000000001"/>
    <d v="2019-01-04T00:00:00"/>
    <s v="1:24:00 PM"/>
    <s v="Credit card"/>
    <n v="139.26"/>
    <n v="4.7619047620000003"/>
    <n v="6.9630000000000001"/>
    <n v="4.4000000000000004"/>
    <x v="0"/>
  </r>
  <r>
    <s v="891-58-8335"/>
    <x v="2"/>
    <s v="Mandalay"/>
    <s v="Member"/>
    <s v="Female"/>
    <x v="3"/>
    <n v="29.61"/>
    <n v="7"/>
    <n v="10.3635"/>
    <n v="217.6335"/>
    <d v="2019-03-11T00:00:00"/>
    <s v="3:53:00 PM"/>
    <s v="Cash"/>
    <n v="207.27"/>
    <n v="4.7619047620000003"/>
    <n v="10.3635"/>
    <n v="6.5"/>
    <x v="1"/>
  </r>
  <r>
    <s v="802-43-8934"/>
    <x v="0"/>
    <s v="Yangon"/>
    <s v="Normal"/>
    <s v="Male"/>
    <x v="2"/>
    <n v="18.28"/>
    <n v="1"/>
    <n v="0.91400000000000003"/>
    <n v="19.193999999999999"/>
    <d v="2019-03-22T00:00:00"/>
    <s v="3:05:00 PM"/>
    <s v="Credit card"/>
    <n v="18.28"/>
    <n v="4.7619047620000003"/>
    <n v="0.91400000000000003"/>
    <n v="8.3000000000000007"/>
    <x v="1"/>
  </r>
  <r>
    <s v="560-30-5617"/>
    <x v="2"/>
    <s v="Mandalay"/>
    <s v="Normal"/>
    <s v="Female"/>
    <x v="3"/>
    <n v="24.77"/>
    <n v="5"/>
    <n v="6.1924999999999999"/>
    <n v="130.04249999999999"/>
    <d v="2019-03-24T00:00:00"/>
    <s v="6:27:00 PM"/>
    <s v="Cash"/>
    <n v="123.85"/>
    <n v="4.7619047620000003"/>
    <n v="6.1924999999999999"/>
    <n v="8.5"/>
    <x v="1"/>
  </r>
  <r>
    <s v="319-74-2561"/>
    <x v="0"/>
    <s v="Yangon"/>
    <s v="Member"/>
    <s v="Female"/>
    <x v="1"/>
    <n v="94.64"/>
    <n v="3"/>
    <n v="14.196"/>
    <n v="298.11599999999999"/>
    <d v="2019-02-21T00:00:00"/>
    <s v="4:55:00 PM"/>
    <s v="Cash"/>
    <n v="283.92"/>
    <n v="4.7619047620000003"/>
    <n v="14.196"/>
    <n v="5.5"/>
    <x v="2"/>
  </r>
  <r>
    <s v="549-03-9315"/>
    <x v="2"/>
    <s v="Mandalay"/>
    <s v="Normal"/>
    <s v="Male"/>
    <x v="5"/>
    <n v="94.87"/>
    <n v="8"/>
    <n v="37.948"/>
    <n v="796.90800000000002"/>
    <d v="2019-02-12T00:00:00"/>
    <s v="12:58:00 PM"/>
    <s v="Ewallet"/>
    <n v="758.96"/>
    <n v="4.7619047620000003"/>
    <n v="37.948"/>
    <n v="8.6999999999999993"/>
    <x v="2"/>
  </r>
  <r>
    <s v="790-29-1172"/>
    <x v="2"/>
    <s v="Mandalay"/>
    <s v="Normal"/>
    <s v="Female"/>
    <x v="4"/>
    <n v="57.34"/>
    <n v="3"/>
    <n v="8.6010000000000009"/>
    <n v="180.62100000000001"/>
    <d v="2019-03-10T00:00:00"/>
    <s v="6:59:00 PM"/>
    <s v="Credit card"/>
    <n v="172.02"/>
    <n v="4.7619047620000003"/>
    <n v="8.6010000000000009"/>
    <n v="7.9"/>
    <x v="1"/>
  </r>
  <r>
    <s v="239-36-3640"/>
    <x v="2"/>
    <s v="Mandalay"/>
    <s v="Normal"/>
    <s v="Male"/>
    <x v="1"/>
    <n v="45.35"/>
    <n v="6"/>
    <n v="13.605"/>
    <n v="285.70499999999998"/>
    <d v="2019-01-31T00:00:00"/>
    <s v="1:44:00 PM"/>
    <s v="Ewallet"/>
    <n v="272.10000000000002"/>
    <n v="4.7619047620000003"/>
    <n v="13.605"/>
    <n v="6.1"/>
    <x v="0"/>
  </r>
  <r>
    <s v="468-01-2051"/>
    <x v="2"/>
    <s v="Mandalay"/>
    <s v="Normal"/>
    <s v="Male"/>
    <x v="4"/>
    <n v="62.08"/>
    <n v="7"/>
    <n v="21.728000000000002"/>
    <n v="456.28800000000001"/>
    <d v="2019-03-06T00:00:00"/>
    <s v="1:46:00 PM"/>
    <s v="Ewallet"/>
    <n v="434.56"/>
    <n v="4.7619047620000003"/>
    <n v="21.728000000000002"/>
    <n v="5.4"/>
    <x v="1"/>
  </r>
  <r>
    <s v="389-25-3394"/>
    <x v="1"/>
    <s v="Naypyitaw"/>
    <s v="Normal"/>
    <s v="Male"/>
    <x v="1"/>
    <n v="11.81"/>
    <n v="5"/>
    <n v="2.9525000000000001"/>
    <n v="62.002499999999998"/>
    <d v="2019-02-17T00:00:00"/>
    <s v="6:06:00 PM"/>
    <s v="Cash"/>
    <n v="59.05"/>
    <n v="4.7619047620000003"/>
    <n v="2.9525000000000001"/>
    <n v="9.4"/>
    <x v="2"/>
  </r>
  <r>
    <s v="279-62-1445"/>
    <x v="1"/>
    <s v="Naypyitaw"/>
    <s v="Member"/>
    <s v="Female"/>
    <x v="5"/>
    <n v="12.54"/>
    <n v="1"/>
    <n v="0.627"/>
    <n v="13.167"/>
    <d v="2019-02-21T00:00:00"/>
    <s v="12:38:00 PM"/>
    <s v="Cash"/>
    <n v="12.54"/>
    <n v="4.7619047620000003"/>
    <n v="0.627"/>
    <n v="8.1999999999999993"/>
    <x v="2"/>
  </r>
  <r>
    <s v="213-72-6612"/>
    <x v="0"/>
    <s v="Yangon"/>
    <s v="Normal"/>
    <s v="Male"/>
    <x v="4"/>
    <n v="43.25"/>
    <n v="2"/>
    <n v="4.3250000000000002"/>
    <n v="90.825000000000003"/>
    <d v="2019-03-20T00:00:00"/>
    <s v="3:56:00 PM"/>
    <s v="Cash"/>
    <n v="86.5"/>
    <n v="4.7619047620000003"/>
    <n v="4.3250000000000002"/>
    <n v="6.2"/>
    <x v="1"/>
  </r>
  <r>
    <s v="746-68-6593"/>
    <x v="1"/>
    <s v="Naypyitaw"/>
    <s v="Member"/>
    <s v="Female"/>
    <x v="3"/>
    <n v="87.16"/>
    <n v="2"/>
    <n v="8.7159999999999993"/>
    <n v="183.036"/>
    <d v="2019-01-11T00:00:00"/>
    <s v="2:29:00 PM"/>
    <s v="Credit card"/>
    <n v="174.32"/>
    <n v="4.7619047620000003"/>
    <n v="8.7159999999999993"/>
    <n v="9.6999999999999993"/>
    <x v="0"/>
  </r>
  <r>
    <s v="836-82-5858"/>
    <x v="2"/>
    <s v="Mandalay"/>
    <s v="Member"/>
    <s v="Male"/>
    <x v="0"/>
    <n v="69.37"/>
    <n v="9"/>
    <n v="31.2165"/>
    <n v="655.54650000000004"/>
    <d v="2019-01-26T00:00:00"/>
    <s v="7:14:00 PM"/>
    <s v="Ewallet"/>
    <n v="624.33000000000004"/>
    <n v="4.7619047620000003"/>
    <n v="31.2165"/>
    <n v="4"/>
    <x v="0"/>
  </r>
  <r>
    <s v="583-72-1480"/>
    <x v="1"/>
    <s v="Naypyitaw"/>
    <s v="Member"/>
    <s v="Male"/>
    <x v="1"/>
    <n v="37.06"/>
    <n v="4"/>
    <n v="7.4119999999999999"/>
    <n v="155.65199999999999"/>
    <d v="2019-01-31T00:00:00"/>
    <s v="4:24:00 PM"/>
    <s v="Ewallet"/>
    <n v="148.24"/>
    <n v="4.7619047620000003"/>
    <n v="7.4119999999999999"/>
    <n v="9.6999999999999993"/>
    <x v="0"/>
  </r>
  <r>
    <s v="466-61-5506"/>
    <x v="2"/>
    <s v="Mandalay"/>
    <s v="Member"/>
    <s v="Female"/>
    <x v="1"/>
    <n v="90.7"/>
    <n v="6"/>
    <n v="27.21"/>
    <n v="571.41"/>
    <d v="2019-02-26T00:00:00"/>
    <s v="10:52:00 AM"/>
    <s v="Cash"/>
    <n v="544.20000000000005"/>
    <n v="4.7619047620000003"/>
    <n v="27.21"/>
    <n v="5.3"/>
    <x v="2"/>
  </r>
  <r>
    <s v="721-86-6247"/>
    <x v="0"/>
    <s v="Yangon"/>
    <s v="Normal"/>
    <s v="Female"/>
    <x v="2"/>
    <n v="63.42"/>
    <n v="8"/>
    <n v="25.367999999999999"/>
    <n v="532.72799999999995"/>
    <d v="2019-03-11T00:00:00"/>
    <s v="12:55:00 PM"/>
    <s v="Ewallet"/>
    <n v="507.36"/>
    <n v="4.7619047620000003"/>
    <n v="25.367999999999999"/>
    <n v="7.4"/>
    <x v="1"/>
  </r>
  <r>
    <s v="289-65-5721"/>
    <x v="2"/>
    <s v="Mandalay"/>
    <s v="Normal"/>
    <s v="Female"/>
    <x v="5"/>
    <n v="81.37"/>
    <n v="2"/>
    <n v="8.1370000000000005"/>
    <n v="170.87700000000001"/>
    <d v="2019-01-26T00:00:00"/>
    <s v="7:28:00 PM"/>
    <s v="Cash"/>
    <n v="162.74"/>
    <n v="4.7619047620000003"/>
    <n v="8.1370000000000005"/>
    <n v="6.5"/>
    <x v="0"/>
  </r>
  <r>
    <s v="545-46-3100"/>
    <x v="2"/>
    <s v="Mandalay"/>
    <s v="Member"/>
    <s v="Female"/>
    <x v="1"/>
    <n v="10.59"/>
    <n v="3"/>
    <n v="1.5885"/>
    <n v="33.358499999999999"/>
    <d v="2019-03-12T00:00:00"/>
    <s v="1:52:00 PM"/>
    <s v="Credit card"/>
    <n v="31.77"/>
    <n v="4.7619047620000003"/>
    <n v="1.5885"/>
    <n v="8.6999999999999993"/>
    <x v="1"/>
  </r>
  <r>
    <s v="418-02-5978"/>
    <x v="2"/>
    <s v="Mandalay"/>
    <s v="Normal"/>
    <s v="Female"/>
    <x v="0"/>
    <n v="84.09"/>
    <n v="9"/>
    <n v="37.840499999999999"/>
    <n v="794.65049999999997"/>
    <d v="2019-02-11T00:00:00"/>
    <s v="10:54:00 AM"/>
    <s v="Cash"/>
    <n v="756.81"/>
    <n v="4.7619047620000003"/>
    <n v="37.840499999999999"/>
    <n v="8"/>
    <x v="2"/>
  </r>
  <r>
    <s v="269-04-5750"/>
    <x v="2"/>
    <s v="Mandalay"/>
    <s v="Member"/>
    <s v="Male"/>
    <x v="5"/>
    <n v="73.819999999999993"/>
    <n v="4"/>
    <n v="14.763999999999999"/>
    <n v="310.04399999999998"/>
    <d v="2019-02-21T00:00:00"/>
    <s v="6:31:00 PM"/>
    <s v="Cash"/>
    <n v="295.27999999999997"/>
    <n v="4.7619047620000003"/>
    <n v="14.763999999999999"/>
    <n v="6.7"/>
    <x v="2"/>
  </r>
  <r>
    <s v="157-13-5295"/>
    <x v="0"/>
    <s v="Yangon"/>
    <s v="Member"/>
    <s v="Male"/>
    <x v="0"/>
    <n v="51.94"/>
    <n v="10"/>
    <n v="25.97"/>
    <n v="545.37"/>
    <d v="2019-03-09T00:00:00"/>
    <s v="6:24:00 PM"/>
    <s v="Ewallet"/>
    <n v="519.4"/>
    <n v="4.7619047620000003"/>
    <n v="25.97"/>
    <n v="6.5"/>
    <x v="1"/>
  </r>
  <r>
    <s v="645-78-8093"/>
    <x v="0"/>
    <s v="Yangon"/>
    <s v="Normal"/>
    <s v="Female"/>
    <x v="3"/>
    <n v="93.14"/>
    <n v="2"/>
    <n v="9.3140000000000001"/>
    <n v="195.59399999999999"/>
    <d v="2019-01-20T00:00:00"/>
    <s v="6:09:00 PM"/>
    <s v="Ewallet"/>
    <n v="186.28"/>
    <n v="4.7619047620000003"/>
    <n v="9.3140000000000001"/>
    <n v="4.0999999999999996"/>
    <x v="0"/>
  </r>
  <r>
    <s v="211-30-9270"/>
    <x v="1"/>
    <s v="Naypyitaw"/>
    <s v="Normal"/>
    <s v="Male"/>
    <x v="0"/>
    <n v="17.41"/>
    <n v="5"/>
    <n v="4.3525"/>
    <n v="91.402500000000003"/>
    <d v="2019-01-28T00:00:00"/>
    <s v="3:16:00 PM"/>
    <s v="Credit card"/>
    <n v="87.05"/>
    <n v="4.7619047620000003"/>
    <n v="4.3525"/>
    <n v="4.9000000000000004"/>
    <x v="0"/>
  </r>
  <r>
    <s v="755-12-3214"/>
    <x v="1"/>
    <s v="Naypyitaw"/>
    <s v="Member"/>
    <s v="Female"/>
    <x v="5"/>
    <n v="44.22"/>
    <n v="5"/>
    <n v="11.055"/>
    <n v="232.155"/>
    <d v="2019-03-05T00:00:00"/>
    <s v="5:07:00 PM"/>
    <s v="Credit card"/>
    <n v="221.1"/>
    <n v="4.7619047620000003"/>
    <n v="11.055"/>
    <n v="8.6"/>
    <x v="1"/>
  </r>
  <r>
    <s v="346-84-3103"/>
    <x v="2"/>
    <s v="Mandalay"/>
    <s v="Member"/>
    <s v="Female"/>
    <x v="1"/>
    <n v="13.22"/>
    <n v="5"/>
    <n v="3.3050000000000002"/>
    <n v="69.405000000000001"/>
    <d v="2019-03-02T00:00:00"/>
    <s v="7:26:00 PM"/>
    <s v="Cash"/>
    <n v="66.099999999999994"/>
    <n v="4.7619047620000003"/>
    <n v="3.3050000000000002"/>
    <n v="4.3"/>
    <x v="1"/>
  </r>
  <r>
    <s v="478-06-7835"/>
    <x v="0"/>
    <s v="Yangon"/>
    <s v="Normal"/>
    <s v="Male"/>
    <x v="5"/>
    <n v="89.69"/>
    <n v="1"/>
    <n v="4.4844999999999997"/>
    <n v="94.174499999999995"/>
    <d v="2019-01-11T00:00:00"/>
    <s v="11:20:00 AM"/>
    <s v="Ewallet"/>
    <n v="89.69"/>
    <n v="4.7619047620000003"/>
    <n v="4.4844999999999997"/>
    <n v="4.9000000000000004"/>
    <x v="0"/>
  </r>
  <r>
    <s v="540-11-4336"/>
    <x v="0"/>
    <s v="Yangon"/>
    <s v="Normal"/>
    <s v="Male"/>
    <x v="4"/>
    <n v="24.94"/>
    <n v="9"/>
    <n v="11.223000000000001"/>
    <n v="235.68299999999999"/>
    <d v="2019-01-11T00:00:00"/>
    <s v="4:49:00 PM"/>
    <s v="Credit card"/>
    <n v="224.46"/>
    <n v="4.7619047620000003"/>
    <n v="11.223000000000001"/>
    <n v="5.6"/>
    <x v="0"/>
  </r>
  <r>
    <s v="448-81-5016"/>
    <x v="0"/>
    <s v="Yangon"/>
    <s v="Normal"/>
    <s v="Male"/>
    <x v="0"/>
    <n v="59.77"/>
    <n v="2"/>
    <n v="5.9770000000000003"/>
    <n v="125.517"/>
    <d v="2019-03-11T00:00:00"/>
    <s v="12:01:00 PM"/>
    <s v="Credit card"/>
    <n v="119.54"/>
    <n v="4.7619047620000003"/>
    <n v="5.9770000000000003"/>
    <n v="5.8"/>
    <x v="1"/>
  </r>
  <r>
    <s v="142-72-4741"/>
    <x v="1"/>
    <s v="Naypyitaw"/>
    <s v="Member"/>
    <s v="Male"/>
    <x v="5"/>
    <n v="93.2"/>
    <n v="2"/>
    <n v="9.32"/>
    <n v="195.72"/>
    <d v="2019-02-28T00:00:00"/>
    <s v="6:37:00 PM"/>
    <s v="Credit card"/>
    <n v="186.4"/>
    <n v="4.7619047620000003"/>
    <n v="9.32"/>
    <n v="6"/>
    <x v="2"/>
  </r>
  <r>
    <s v="217-58-1179"/>
    <x v="0"/>
    <s v="Yangon"/>
    <s v="Member"/>
    <s v="Male"/>
    <x v="2"/>
    <n v="62.65"/>
    <n v="4"/>
    <n v="12.53"/>
    <n v="263.13"/>
    <d v="2019-01-05T00:00:00"/>
    <s v="11:25:00 AM"/>
    <s v="Cash"/>
    <n v="250.6"/>
    <n v="4.7619047620000003"/>
    <n v="12.53"/>
    <n v="4.2"/>
    <x v="0"/>
  </r>
  <r>
    <s v="376-02-8238"/>
    <x v="2"/>
    <s v="Mandalay"/>
    <s v="Normal"/>
    <s v="Male"/>
    <x v="2"/>
    <n v="93.87"/>
    <n v="8"/>
    <n v="37.548000000000002"/>
    <n v="788.50800000000004"/>
    <d v="2019-02-02T00:00:00"/>
    <s v="6:42:00 PM"/>
    <s v="Credit card"/>
    <n v="750.96"/>
    <n v="4.7619047620000003"/>
    <n v="37.548000000000002"/>
    <n v="8.3000000000000007"/>
    <x v="2"/>
  </r>
  <r>
    <s v="530-90-9855"/>
    <x v="0"/>
    <s v="Yangon"/>
    <s v="Member"/>
    <s v="Male"/>
    <x v="2"/>
    <n v="47.59"/>
    <n v="8"/>
    <n v="19.036000000000001"/>
    <n v="399.75599999999997"/>
    <d v="2019-01-01T00:00:00"/>
    <s v="2:47:00 PM"/>
    <s v="Cash"/>
    <n v="380.72"/>
    <n v="4.7619047620000003"/>
    <n v="19.036000000000001"/>
    <n v="5.7"/>
    <x v="0"/>
  </r>
  <r>
    <s v="866-05-7563"/>
    <x v="2"/>
    <s v="Mandalay"/>
    <s v="Member"/>
    <s v="Female"/>
    <x v="1"/>
    <n v="81.400000000000006"/>
    <n v="3"/>
    <n v="12.21"/>
    <n v="256.41000000000003"/>
    <d v="2019-02-09T00:00:00"/>
    <s v="7:43:00 PM"/>
    <s v="Cash"/>
    <n v="244.2"/>
    <n v="4.7619047620000003"/>
    <n v="12.21"/>
    <n v="4.8"/>
    <x v="2"/>
  </r>
  <r>
    <s v="604-70-6476"/>
    <x v="0"/>
    <s v="Yangon"/>
    <s v="Member"/>
    <s v="Male"/>
    <x v="5"/>
    <n v="17.940000000000001"/>
    <n v="5"/>
    <n v="4.4850000000000003"/>
    <n v="94.185000000000002"/>
    <d v="2019-01-23T00:00:00"/>
    <s v="2:04:00 PM"/>
    <s v="Ewallet"/>
    <n v="89.7"/>
    <n v="4.7619047620000003"/>
    <n v="4.4850000000000003"/>
    <n v="6.8"/>
    <x v="0"/>
  </r>
  <r>
    <s v="799-71-1548"/>
    <x v="0"/>
    <s v="Yangon"/>
    <s v="Member"/>
    <s v="Male"/>
    <x v="1"/>
    <n v="77.72"/>
    <n v="4"/>
    <n v="15.544"/>
    <n v="326.42399999999998"/>
    <d v="2019-01-07T00:00:00"/>
    <s v="4:11:00 PM"/>
    <s v="Credit card"/>
    <n v="310.88"/>
    <n v="4.7619047620000003"/>
    <n v="15.544"/>
    <n v="8.8000000000000007"/>
    <x v="0"/>
  </r>
  <r>
    <s v="785-13-7708"/>
    <x v="2"/>
    <s v="Mandalay"/>
    <s v="Normal"/>
    <s v="Male"/>
    <x v="4"/>
    <n v="73.06"/>
    <n v="7"/>
    <n v="25.571000000000002"/>
    <n v="536.99099999999999"/>
    <d v="2019-01-14T00:00:00"/>
    <s v="7:06:00 PM"/>
    <s v="Credit card"/>
    <n v="511.42"/>
    <n v="4.7619047620000003"/>
    <n v="25.571000000000002"/>
    <n v="4.2"/>
    <x v="0"/>
  </r>
  <r>
    <s v="845-51-0542"/>
    <x v="2"/>
    <s v="Mandalay"/>
    <s v="Member"/>
    <s v="Male"/>
    <x v="4"/>
    <n v="46.55"/>
    <n v="9"/>
    <n v="20.947500000000002"/>
    <n v="439.89749999999998"/>
    <d v="2019-02-02T00:00:00"/>
    <s v="3:34:00 PM"/>
    <s v="Ewallet"/>
    <n v="418.95"/>
    <n v="4.7619047620000003"/>
    <n v="20.947500000000002"/>
    <n v="6.4"/>
    <x v="2"/>
  </r>
  <r>
    <s v="662-47-5456"/>
    <x v="1"/>
    <s v="Naypyitaw"/>
    <s v="Member"/>
    <s v="Male"/>
    <x v="5"/>
    <n v="35.19"/>
    <n v="10"/>
    <n v="17.594999999999999"/>
    <n v="369.495"/>
    <d v="2019-03-17T00:00:00"/>
    <s v="7:06:00 PM"/>
    <s v="Credit card"/>
    <n v="351.9"/>
    <n v="4.7619047620000003"/>
    <n v="17.594999999999999"/>
    <n v="8.4"/>
    <x v="1"/>
  </r>
  <r>
    <s v="883-17-4236"/>
    <x v="1"/>
    <s v="Naypyitaw"/>
    <s v="Normal"/>
    <s v="Female"/>
    <x v="3"/>
    <n v="14.39"/>
    <n v="2"/>
    <n v="1.4390000000000001"/>
    <n v="30.219000000000001"/>
    <d v="2019-03-02T00:00:00"/>
    <s v="7:44:00 PM"/>
    <s v="Credit card"/>
    <n v="28.78"/>
    <n v="4.7619047620000003"/>
    <n v="1.4390000000000001"/>
    <n v="7.2"/>
    <x v="1"/>
  </r>
  <r>
    <s v="290-68-2984"/>
    <x v="0"/>
    <s v="Yangon"/>
    <s v="Normal"/>
    <s v="Male"/>
    <x v="2"/>
    <n v="23.75"/>
    <n v="4"/>
    <n v="4.75"/>
    <n v="99.75"/>
    <d v="2019-03-16T00:00:00"/>
    <s v="11:22:00 AM"/>
    <s v="Cash"/>
    <n v="95"/>
    <n v="4.7619047620000003"/>
    <n v="4.75"/>
    <n v="5.2"/>
    <x v="1"/>
  </r>
  <r>
    <s v="704-11-6354"/>
    <x v="0"/>
    <s v="Yangon"/>
    <s v="Member"/>
    <s v="Male"/>
    <x v="2"/>
    <n v="58.9"/>
    <n v="8"/>
    <n v="23.56"/>
    <n v="494.76"/>
    <d v="2019-01-06T00:00:00"/>
    <s v="11:23:00 AM"/>
    <s v="Cash"/>
    <n v="471.2"/>
    <n v="4.7619047620000003"/>
    <n v="23.56"/>
    <n v="8.9"/>
    <x v="0"/>
  </r>
  <r>
    <s v="110-48-7033"/>
    <x v="2"/>
    <s v="Mandalay"/>
    <s v="Member"/>
    <s v="Male"/>
    <x v="5"/>
    <n v="32.619999999999997"/>
    <n v="4"/>
    <n v="6.524"/>
    <n v="137.00399999999999"/>
    <d v="2019-01-29T00:00:00"/>
    <s v="2:12:00 PM"/>
    <s v="Cash"/>
    <n v="130.47999999999999"/>
    <n v="4.7619047620000003"/>
    <n v="6.524"/>
    <n v="9"/>
    <x v="0"/>
  </r>
  <r>
    <s v="366-93-0948"/>
    <x v="0"/>
    <s v="Yangon"/>
    <s v="Member"/>
    <s v="Male"/>
    <x v="1"/>
    <n v="66.349999999999994"/>
    <n v="1"/>
    <n v="3.3174999999999999"/>
    <n v="69.667500000000004"/>
    <d v="2019-01-31T00:00:00"/>
    <s v="10:46:00 AM"/>
    <s v="Credit card"/>
    <n v="66.349999999999994"/>
    <n v="4.7619047620000003"/>
    <n v="3.3174999999999999"/>
    <n v="9.6999999999999993"/>
    <x v="0"/>
  </r>
  <r>
    <s v="729-09-9681"/>
    <x v="0"/>
    <s v="Yangon"/>
    <s v="Member"/>
    <s v="Male"/>
    <x v="2"/>
    <n v="25.91"/>
    <n v="6"/>
    <n v="7.7729999999999997"/>
    <n v="163.233"/>
    <d v="2019-02-05T00:00:00"/>
    <s v="10:16:00 AM"/>
    <s v="Ewallet"/>
    <n v="155.46"/>
    <n v="4.7619047620000003"/>
    <n v="7.7729999999999997"/>
    <n v="8.6999999999999993"/>
    <x v="2"/>
  </r>
  <r>
    <s v="151-16-1484"/>
    <x v="0"/>
    <s v="Yangon"/>
    <s v="Member"/>
    <s v="Male"/>
    <x v="1"/>
    <n v="32.25"/>
    <n v="4"/>
    <n v="6.45"/>
    <n v="135.44999999999999"/>
    <d v="2019-02-13T00:00:00"/>
    <s v="12:38:00 PM"/>
    <s v="Ewallet"/>
    <n v="129"/>
    <n v="4.7619047620000003"/>
    <n v="6.45"/>
    <n v="6.5"/>
    <x v="2"/>
  </r>
  <r>
    <s v="380-94-4661"/>
    <x v="1"/>
    <s v="Naypyitaw"/>
    <s v="Member"/>
    <s v="Male"/>
    <x v="1"/>
    <n v="65.94"/>
    <n v="4"/>
    <n v="13.188000000000001"/>
    <n v="276.94799999999998"/>
    <d v="2019-02-07T00:00:00"/>
    <s v="1:05:00 PM"/>
    <s v="Credit card"/>
    <n v="263.76"/>
    <n v="4.7619047620000003"/>
    <n v="13.188000000000001"/>
    <n v="6.9"/>
    <x v="2"/>
  </r>
  <r>
    <s v="850-41-9669"/>
    <x v="0"/>
    <s v="Yangon"/>
    <s v="Normal"/>
    <s v="Female"/>
    <x v="1"/>
    <n v="75.06"/>
    <n v="9"/>
    <n v="33.777000000000001"/>
    <n v="709.31700000000001"/>
    <d v="2019-03-19T00:00:00"/>
    <s v="1:25:00 PM"/>
    <s v="Ewallet"/>
    <n v="675.54"/>
    <n v="4.7619047620000003"/>
    <n v="33.777000000000001"/>
    <n v="6.2"/>
    <x v="1"/>
  </r>
  <r>
    <s v="821-07-3596"/>
    <x v="1"/>
    <s v="Naypyitaw"/>
    <s v="Normal"/>
    <s v="Female"/>
    <x v="5"/>
    <n v="16.45"/>
    <n v="4"/>
    <n v="3.29"/>
    <n v="69.09"/>
    <d v="2019-03-07T00:00:00"/>
    <s v="2:53:00 PM"/>
    <s v="Ewallet"/>
    <n v="65.8"/>
    <n v="4.7619047620000003"/>
    <n v="3.29"/>
    <n v="5.6"/>
    <x v="1"/>
  </r>
  <r>
    <s v="655-85-5130"/>
    <x v="2"/>
    <s v="Mandalay"/>
    <s v="Member"/>
    <s v="Female"/>
    <x v="5"/>
    <n v="38.299999999999997"/>
    <n v="4"/>
    <n v="7.66"/>
    <n v="160.86000000000001"/>
    <d v="2019-03-13T00:00:00"/>
    <s v="7:22:00 PM"/>
    <s v="Cash"/>
    <n v="153.19999999999999"/>
    <n v="4.7619047620000003"/>
    <n v="7.66"/>
    <n v="5.7"/>
    <x v="1"/>
  </r>
  <r>
    <s v="447-15-7839"/>
    <x v="0"/>
    <s v="Yangon"/>
    <s v="Member"/>
    <s v="Female"/>
    <x v="3"/>
    <n v="22.24"/>
    <n v="10"/>
    <n v="11.12"/>
    <n v="233.52"/>
    <d v="2019-02-09T00:00:00"/>
    <s v="11:00:00 AM"/>
    <s v="Cash"/>
    <n v="222.4"/>
    <n v="4.7619047620000003"/>
    <n v="11.12"/>
    <n v="4.2"/>
    <x v="2"/>
  </r>
  <r>
    <s v="154-74-7179"/>
    <x v="2"/>
    <s v="Mandalay"/>
    <s v="Normal"/>
    <s v="Male"/>
    <x v="3"/>
    <n v="54.45"/>
    <n v="1"/>
    <n v="2.7225000000000001"/>
    <n v="57.172499999999999"/>
    <d v="2019-02-26T00:00:00"/>
    <s v="7:24:00 PM"/>
    <s v="Ewallet"/>
    <n v="54.45"/>
    <n v="4.7619047620000003"/>
    <n v="2.7225000000000001"/>
    <n v="7.9"/>
    <x v="2"/>
  </r>
  <r>
    <s v="253-12-6086"/>
    <x v="0"/>
    <s v="Yangon"/>
    <s v="Member"/>
    <s v="Female"/>
    <x v="3"/>
    <n v="98.4"/>
    <n v="7"/>
    <n v="34.44"/>
    <n v="723.24"/>
    <d v="2019-03-12T00:00:00"/>
    <s v="12:43:00 PM"/>
    <s v="Credit card"/>
    <n v="688.8"/>
    <n v="4.7619047620000003"/>
    <n v="34.44"/>
    <n v="8.6999999999999993"/>
    <x v="1"/>
  </r>
  <r>
    <s v="808-65-0703"/>
    <x v="1"/>
    <s v="Naypyitaw"/>
    <s v="Normal"/>
    <s v="Male"/>
    <x v="2"/>
    <n v="35.47"/>
    <n v="4"/>
    <n v="7.0940000000000003"/>
    <n v="148.97399999999999"/>
    <d v="2019-03-14T00:00:00"/>
    <s v="5:22:00 PM"/>
    <s v="Credit card"/>
    <n v="141.88"/>
    <n v="4.7619047620000003"/>
    <n v="7.0940000000000003"/>
    <n v="6.9"/>
    <x v="1"/>
  </r>
  <r>
    <s v="571-94-0759"/>
    <x v="2"/>
    <s v="Mandalay"/>
    <s v="Member"/>
    <s v="Female"/>
    <x v="4"/>
    <n v="74.599999999999994"/>
    <n v="10"/>
    <n v="37.299999999999997"/>
    <n v="783.3"/>
    <d v="2019-01-08T00:00:00"/>
    <s v="8:55:00 PM"/>
    <s v="Cash"/>
    <n v="746"/>
    <n v="4.7619047620000003"/>
    <n v="37.299999999999997"/>
    <n v="9.5"/>
    <x v="0"/>
  </r>
  <r>
    <s v="144-51-6085"/>
    <x v="0"/>
    <s v="Yangon"/>
    <s v="Member"/>
    <s v="Male"/>
    <x v="2"/>
    <n v="70.739999999999995"/>
    <n v="4"/>
    <n v="14.148"/>
    <n v="297.108"/>
    <d v="2019-01-05T00:00:00"/>
    <s v="4:05:00 PM"/>
    <s v="Credit card"/>
    <n v="282.95999999999998"/>
    <n v="4.7619047620000003"/>
    <n v="14.148"/>
    <n v="4.4000000000000004"/>
    <x v="0"/>
  </r>
  <r>
    <s v="731-14-2199"/>
    <x v="0"/>
    <s v="Yangon"/>
    <s v="Member"/>
    <s v="Female"/>
    <x v="2"/>
    <n v="35.54"/>
    <n v="10"/>
    <n v="17.77"/>
    <n v="373.17"/>
    <d v="2019-01-04T00:00:00"/>
    <s v="1:34:00 PM"/>
    <s v="Ewallet"/>
    <n v="355.4"/>
    <n v="4.7619047620000003"/>
    <n v="17.77"/>
    <n v="7"/>
    <x v="0"/>
  </r>
  <r>
    <s v="783-09-1637"/>
    <x v="2"/>
    <s v="Mandalay"/>
    <s v="Normal"/>
    <s v="Female"/>
    <x v="3"/>
    <n v="67.430000000000007"/>
    <n v="5"/>
    <n v="16.857500000000002"/>
    <n v="354.00749999999999"/>
    <d v="2019-03-06T00:00:00"/>
    <s v="6:13:00 PM"/>
    <s v="Ewallet"/>
    <n v="337.15"/>
    <n v="4.7619047620000003"/>
    <n v="16.857500000000002"/>
    <n v="6.3"/>
    <x v="1"/>
  </r>
  <r>
    <s v="687-15-1097"/>
    <x v="1"/>
    <s v="Naypyitaw"/>
    <s v="Member"/>
    <s v="Female"/>
    <x v="0"/>
    <n v="21.12"/>
    <n v="2"/>
    <n v="2.1120000000000001"/>
    <n v="44.351999999999997"/>
    <d v="2019-01-03T00:00:00"/>
    <s v="7:17:00 PM"/>
    <s v="Cash"/>
    <n v="42.24"/>
    <n v="4.7619047620000003"/>
    <n v="2.1120000000000001"/>
    <n v="9.6999999999999993"/>
    <x v="0"/>
  </r>
  <r>
    <s v="126-54-1082"/>
    <x v="0"/>
    <s v="Yangon"/>
    <s v="Member"/>
    <s v="Female"/>
    <x v="2"/>
    <n v="21.54"/>
    <n v="9"/>
    <n v="9.6929999999999996"/>
    <n v="203.553"/>
    <d v="2019-01-07T00:00:00"/>
    <s v="11:44:00 AM"/>
    <s v="Credit card"/>
    <n v="193.86"/>
    <n v="4.7619047620000003"/>
    <n v="9.6929999999999996"/>
    <n v="8.8000000000000007"/>
    <x v="0"/>
  </r>
  <r>
    <s v="633-91-1052"/>
    <x v="0"/>
    <s v="Yangon"/>
    <s v="Normal"/>
    <s v="Female"/>
    <x v="2"/>
    <n v="12.03"/>
    <n v="2"/>
    <n v="1.2030000000000001"/>
    <n v="25.263000000000002"/>
    <d v="2019-01-27T00:00:00"/>
    <s v="3:51:00 PM"/>
    <s v="Cash"/>
    <n v="24.06"/>
    <n v="4.7619047620000003"/>
    <n v="1.2030000000000001"/>
    <n v="5.0999999999999996"/>
    <x v="0"/>
  </r>
  <r>
    <s v="477-24-6490"/>
    <x v="2"/>
    <s v="Mandalay"/>
    <s v="Normal"/>
    <s v="Female"/>
    <x v="0"/>
    <n v="99.71"/>
    <n v="6"/>
    <n v="29.913"/>
    <n v="628.173"/>
    <d v="2019-02-26T00:00:00"/>
    <s v="4:52:00 PM"/>
    <s v="Ewallet"/>
    <n v="598.26"/>
    <n v="4.7619047620000003"/>
    <n v="29.913"/>
    <n v="7.9"/>
    <x v="2"/>
  </r>
  <r>
    <s v="566-19-5475"/>
    <x v="2"/>
    <s v="Mandalay"/>
    <s v="Normal"/>
    <s v="Male"/>
    <x v="5"/>
    <n v="47.97"/>
    <n v="7"/>
    <n v="16.7895"/>
    <n v="352.5795"/>
    <d v="2019-01-07T00:00:00"/>
    <s v="8:52:00 PM"/>
    <s v="Cash"/>
    <n v="335.79"/>
    <n v="4.7619047620000003"/>
    <n v="16.7895"/>
    <n v="6.2"/>
    <x v="0"/>
  </r>
  <r>
    <s v="526-86-8552"/>
    <x v="1"/>
    <s v="Naypyitaw"/>
    <s v="Member"/>
    <s v="Female"/>
    <x v="2"/>
    <n v="21.82"/>
    <n v="10"/>
    <n v="10.91"/>
    <n v="229.11"/>
    <d v="2019-01-07T00:00:00"/>
    <s v="5:36:00 PM"/>
    <s v="Cash"/>
    <n v="218.2"/>
    <n v="4.7619047620000003"/>
    <n v="10.91"/>
    <n v="7.1"/>
    <x v="0"/>
  </r>
  <r>
    <s v="376-56-3573"/>
    <x v="1"/>
    <s v="Naypyitaw"/>
    <s v="Normal"/>
    <s v="Female"/>
    <x v="5"/>
    <n v="95.42"/>
    <n v="4"/>
    <n v="19.084"/>
    <n v="400.76400000000001"/>
    <d v="2019-02-02T00:00:00"/>
    <s v="1:23:00 PM"/>
    <s v="Ewallet"/>
    <n v="381.68"/>
    <n v="4.7619047620000003"/>
    <n v="19.084"/>
    <n v="6.4"/>
    <x v="2"/>
  </r>
  <r>
    <s v="537-72-0426"/>
    <x v="1"/>
    <s v="Naypyitaw"/>
    <s v="Member"/>
    <s v="Male"/>
    <x v="5"/>
    <n v="70.989999999999995"/>
    <n v="10"/>
    <n v="35.494999999999997"/>
    <n v="745.39499999999998"/>
    <d v="2019-03-20T00:00:00"/>
    <s v="4:28:00 PM"/>
    <s v="Cash"/>
    <n v="709.9"/>
    <n v="4.7619047620000003"/>
    <n v="35.494999999999997"/>
    <n v="5.7"/>
    <x v="1"/>
  </r>
  <r>
    <s v="828-61-5674"/>
    <x v="0"/>
    <s v="Yangon"/>
    <s v="Member"/>
    <s v="Male"/>
    <x v="3"/>
    <n v="44.02"/>
    <n v="10"/>
    <n v="22.01"/>
    <n v="462.21"/>
    <d v="2019-03-20T00:00:00"/>
    <s v="7:57:00 PM"/>
    <s v="Credit card"/>
    <n v="440.2"/>
    <n v="4.7619047620000003"/>
    <n v="22.01"/>
    <n v="9.6"/>
    <x v="1"/>
  </r>
  <r>
    <s v="136-08-6195"/>
    <x v="0"/>
    <s v="Yangon"/>
    <s v="Normal"/>
    <s v="Female"/>
    <x v="2"/>
    <n v="69.959999999999994"/>
    <n v="8"/>
    <n v="27.984000000000002"/>
    <n v="587.66399999999999"/>
    <d v="2019-02-15T00:00:00"/>
    <s v="5:01:00 PM"/>
    <s v="Credit card"/>
    <n v="559.67999999999995"/>
    <n v="4.7619047620000003"/>
    <n v="27.984000000000002"/>
    <n v="6.4"/>
    <x v="2"/>
  </r>
  <r>
    <s v="523-38-0215"/>
    <x v="1"/>
    <s v="Naypyitaw"/>
    <s v="Normal"/>
    <s v="Male"/>
    <x v="2"/>
    <n v="37"/>
    <n v="1"/>
    <n v="1.85"/>
    <n v="38.85"/>
    <d v="2019-03-06T00:00:00"/>
    <s v="1:29:00 PM"/>
    <s v="Credit card"/>
    <n v="37"/>
    <n v="4.7619047620000003"/>
    <n v="1.85"/>
    <n v="7.9"/>
    <x v="1"/>
  </r>
  <r>
    <s v="490-29-1201"/>
    <x v="0"/>
    <s v="Yangon"/>
    <s v="Normal"/>
    <s v="Female"/>
    <x v="3"/>
    <n v="15.34"/>
    <n v="1"/>
    <n v="0.76700000000000002"/>
    <n v="16.106999999999999"/>
    <d v="2019-01-06T00:00:00"/>
    <s v="11:09:00 AM"/>
    <s v="Cash"/>
    <n v="15.34"/>
    <n v="4.7619047620000003"/>
    <n v="0.76700000000000002"/>
    <n v="6.5"/>
    <x v="0"/>
  </r>
  <r>
    <s v="667-92-0055"/>
    <x v="0"/>
    <s v="Yangon"/>
    <s v="Member"/>
    <s v="Male"/>
    <x v="0"/>
    <n v="99.83"/>
    <n v="6"/>
    <n v="29.949000000000002"/>
    <n v="628.92899999999997"/>
    <d v="2019-03-04T00:00:00"/>
    <s v="3:02:00 PM"/>
    <s v="Ewallet"/>
    <n v="598.98"/>
    <n v="4.7619047620000003"/>
    <n v="29.949000000000002"/>
    <n v="8.5"/>
    <x v="1"/>
  </r>
  <r>
    <s v="565-17-3836"/>
    <x v="0"/>
    <s v="Yangon"/>
    <s v="Member"/>
    <s v="Female"/>
    <x v="0"/>
    <n v="47.67"/>
    <n v="4"/>
    <n v="9.5340000000000007"/>
    <n v="200.214"/>
    <d v="2019-03-12T00:00:00"/>
    <s v="2:21:00 PM"/>
    <s v="Cash"/>
    <n v="190.68"/>
    <n v="4.7619047620000003"/>
    <n v="9.5340000000000007"/>
    <n v="9.1"/>
    <x v="1"/>
  </r>
  <r>
    <s v="498-41-1961"/>
    <x v="2"/>
    <s v="Mandalay"/>
    <s v="Normal"/>
    <s v="Male"/>
    <x v="0"/>
    <n v="66.680000000000007"/>
    <n v="5"/>
    <n v="16.670000000000002"/>
    <n v="350.07"/>
    <d v="2019-02-20T00:00:00"/>
    <s v="6:01:00 PM"/>
    <s v="Cash"/>
    <n v="333.4"/>
    <n v="4.7619047620000003"/>
    <n v="16.670000000000002"/>
    <n v="7.6"/>
    <x v="2"/>
  </r>
  <r>
    <s v="593-95-4461"/>
    <x v="1"/>
    <s v="Naypyitaw"/>
    <s v="Member"/>
    <s v="Male"/>
    <x v="2"/>
    <n v="74.86"/>
    <n v="1"/>
    <n v="3.7429999999999999"/>
    <n v="78.602999999999994"/>
    <d v="2019-03-24T00:00:00"/>
    <s v="2:49:00 PM"/>
    <s v="Cash"/>
    <n v="74.86"/>
    <n v="4.7619047620000003"/>
    <n v="3.7429999999999999"/>
    <n v="6.9"/>
    <x v="1"/>
  </r>
  <r>
    <s v="226-71-3580"/>
    <x v="1"/>
    <s v="Naypyitaw"/>
    <s v="Normal"/>
    <s v="Female"/>
    <x v="3"/>
    <n v="23.75"/>
    <n v="9"/>
    <n v="10.6875"/>
    <n v="224.4375"/>
    <d v="2019-01-31T00:00:00"/>
    <s v="12:02:00 PM"/>
    <s v="Cash"/>
    <n v="213.75"/>
    <n v="4.7619047620000003"/>
    <n v="10.6875"/>
    <n v="9.5"/>
    <x v="0"/>
  </r>
  <r>
    <s v="283-79-9594"/>
    <x v="2"/>
    <s v="Mandalay"/>
    <s v="Normal"/>
    <s v="Female"/>
    <x v="4"/>
    <n v="48.51"/>
    <n v="7"/>
    <n v="16.9785"/>
    <n v="356.54849999999999"/>
    <d v="2019-01-25T00:00:00"/>
    <s v="1:30:00 PM"/>
    <s v="Credit card"/>
    <n v="339.57"/>
    <n v="4.7619047620000003"/>
    <n v="16.9785"/>
    <n v="5.2"/>
    <x v="0"/>
  </r>
  <r>
    <s v="430-60-3493"/>
    <x v="0"/>
    <s v="Yangon"/>
    <s v="Member"/>
    <s v="Female"/>
    <x v="2"/>
    <n v="94.88"/>
    <n v="7"/>
    <n v="33.207999999999998"/>
    <n v="697.36800000000005"/>
    <d v="2019-02-03T00:00:00"/>
    <s v="2:38:00 PM"/>
    <s v="Cash"/>
    <n v="664.16"/>
    <n v="4.7619047620000003"/>
    <n v="33.207999999999998"/>
    <n v="4.2"/>
    <x v="2"/>
  </r>
  <r>
    <s v="139-20-0155"/>
    <x v="2"/>
    <s v="Mandalay"/>
    <s v="Member"/>
    <s v="Male"/>
    <x v="1"/>
    <n v="40.299999999999997"/>
    <n v="10"/>
    <n v="20.149999999999999"/>
    <n v="423.15"/>
    <d v="2019-01-24T00:00:00"/>
    <s v="5:37:00 PM"/>
    <s v="Credit card"/>
    <n v="403"/>
    <n v="4.7619047620000003"/>
    <n v="20.149999999999999"/>
    <n v="7"/>
    <x v="0"/>
  </r>
  <r>
    <s v="558-80-4082"/>
    <x v="1"/>
    <s v="Naypyitaw"/>
    <s v="Normal"/>
    <s v="Male"/>
    <x v="1"/>
    <n v="27.85"/>
    <n v="7"/>
    <n v="9.7475000000000005"/>
    <n v="204.69749999999999"/>
    <d v="2019-03-14T00:00:00"/>
    <s v="5:20:00 PM"/>
    <s v="Ewallet"/>
    <n v="194.95"/>
    <n v="4.7619047620000003"/>
    <n v="9.7475000000000005"/>
    <n v="6"/>
    <x v="1"/>
  </r>
  <r>
    <s v="278-97-7759"/>
    <x v="0"/>
    <s v="Yangon"/>
    <s v="Member"/>
    <s v="Female"/>
    <x v="1"/>
    <n v="62.48"/>
    <n v="1"/>
    <n v="3.1240000000000001"/>
    <n v="65.603999999999999"/>
    <d v="2019-02-18T00:00:00"/>
    <s v="8:29:00 PM"/>
    <s v="Cash"/>
    <n v="62.48"/>
    <n v="4.7619047620000003"/>
    <n v="3.1240000000000001"/>
    <n v="4.7"/>
    <x v="2"/>
  </r>
  <r>
    <s v="316-68-6352"/>
    <x v="0"/>
    <s v="Yangon"/>
    <s v="Member"/>
    <s v="Female"/>
    <x v="4"/>
    <n v="36.36"/>
    <n v="2"/>
    <n v="3.6360000000000001"/>
    <n v="76.355999999999995"/>
    <d v="2019-01-21T00:00:00"/>
    <s v="10:00:00 AM"/>
    <s v="Cash"/>
    <n v="72.72"/>
    <n v="4.7619047620000003"/>
    <n v="3.6360000000000001"/>
    <n v="7.1"/>
    <x v="0"/>
  </r>
  <r>
    <s v="585-03-5943"/>
    <x v="2"/>
    <s v="Mandalay"/>
    <s v="Normal"/>
    <s v="Male"/>
    <x v="0"/>
    <n v="18.11"/>
    <n v="10"/>
    <n v="9.0549999999999997"/>
    <n v="190.155"/>
    <d v="2019-03-13T00:00:00"/>
    <s v="11:46:00 AM"/>
    <s v="Ewallet"/>
    <n v="181.1"/>
    <n v="4.7619047620000003"/>
    <n v="9.0549999999999997"/>
    <n v="5.9"/>
    <x v="1"/>
  </r>
  <r>
    <s v="211-05-0490"/>
    <x v="1"/>
    <s v="Naypyitaw"/>
    <s v="Member"/>
    <s v="Female"/>
    <x v="1"/>
    <n v="51.92"/>
    <n v="5"/>
    <n v="12.98"/>
    <n v="272.58"/>
    <d v="2019-03-03T00:00:00"/>
    <s v="1:42:00 PM"/>
    <s v="Cash"/>
    <n v="259.60000000000002"/>
    <n v="4.7619047620000003"/>
    <n v="12.98"/>
    <n v="7.5"/>
    <x v="1"/>
  </r>
  <r>
    <s v="727-75-6477"/>
    <x v="1"/>
    <s v="Naypyitaw"/>
    <s v="Normal"/>
    <s v="Male"/>
    <x v="1"/>
    <n v="28.84"/>
    <n v="4"/>
    <n v="5.7679999999999998"/>
    <n v="121.128"/>
    <d v="2019-03-29T00:00:00"/>
    <s v="2:44:00 PM"/>
    <s v="Cash"/>
    <n v="115.36"/>
    <n v="4.7619047620000003"/>
    <n v="5.7679999999999998"/>
    <n v="6.4"/>
    <x v="1"/>
  </r>
  <r>
    <s v="744-02-5987"/>
    <x v="0"/>
    <s v="Yangon"/>
    <s v="Member"/>
    <s v="Male"/>
    <x v="2"/>
    <n v="78.38"/>
    <n v="6"/>
    <n v="23.513999999999999"/>
    <n v="493.79399999999998"/>
    <d v="2019-01-10T00:00:00"/>
    <s v="2:16:00 PM"/>
    <s v="Ewallet"/>
    <n v="470.28"/>
    <n v="4.7619047620000003"/>
    <n v="23.513999999999999"/>
    <n v="5.8"/>
    <x v="0"/>
  </r>
  <r>
    <s v="307-83-9164"/>
    <x v="0"/>
    <s v="Yangon"/>
    <s v="Member"/>
    <s v="Male"/>
    <x v="2"/>
    <n v="60.01"/>
    <n v="4"/>
    <n v="12.002000000000001"/>
    <n v="252.042"/>
    <d v="2019-01-25T00:00:00"/>
    <s v="3:54:00 PM"/>
    <s v="Cash"/>
    <n v="240.04"/>
    <n v="4.7619047620000003"/>
    <n v="12.002000000000001"/>
    <n v="4.5"/>
    <x v="0"/>
  </r>
  <r>
    <s v="779-06-0012"/>
    <x v="1"/>
    <s v="Naypyitaw"/>
    <s v="Member"/>
    <s v="Female"/>
    <x v="2"/>
    <n v="88.61"/>
    <n v="1"/>
    <n v="4.4305000000000003"/>
    <n v="93.040499999999994"/>
    <d v="2019-01-19T00:00:00"/>
    <s v="10:21:00 AM"/>
    <s v="Cash"/>
    <n v="88.61"/>
    <n v="4.7619047620000003"/>
    <n v="4.4305000000000003"/>
    <n v="7.7"/>
    <x v="0"/>
  </r>
</pivotCacheRecords>
</file>

<file path=xl/pivotCache/pivotCacheRecords2.xml><?xml version="1.0" encoding="utf-8"?>
<pivotCacheRecords xmlns="http://schemas.openxmlformats.org/spreadsheetml/2006/main" xmlns:r="http://schemas.openxmlformats.org/officeDocument/2006/relationships" count="301">
  <r>
    <x v="0"/>
    <s v="Alex"/>
    <s v="Yangon"/>
    <x v="0"/>
    <s v="Female"/>
    <s v="Health and beauty"/>
    <n v="74.69"/>
    <n v="7"/>
    <n v="26.141500000000001"/>
    <x v="0"/>
    <d v="2019-01-05T00:00:00"/>
    <s v="1:08:00 PM"/>
    <s v="Ewallet"/>
    <n v="522.83000000000004"/>
    <n v="4.7619047620000003"/>
    <n v="26.141500000000001"/>
    <n v="9.1"/>
    <s v="January"/>
  </r>
  <r>
    <x v="1"/>
    <s v="Giza"/>
    <s v="Naypyitaw"/>
    <x v="1"/>
    <s v="Female"/>
    <s v="Electronic accessories"/>
    <n v="15.28"/>
    <n v="5"/>
    <n v="3.82"/>
    <x v="1"/>
    <d v="2019-03-08T00:00:00"/>
    <s v="10:29:00 AM"/>
    <s v="Cash"/>
    <n v="76.400000000000006"/>
    <n v="4.7619047620000003"/>
    <n v="3.82"/>
    <n v="9.6"/>
    <s v="March"/>
  </r>
  <r>
    <x v="2"/>
    <s v="Alex"/>
    <s v="Yangon"/>
    <x v="1"/>
    <s v="Female"/>
    <s v="Home and lifestyle"/>
    <n v="46.33"/>
    <n v="7"/>
    <n v="16.215499999999999"/>
    <x v="2"/>
    <d v="2019-03-03T00:00:00"/>
    <s v="1:23:00 PM"/>
    <s v="Credit card"/>
    <n v="324.31"/>
    <n v="4.7619047620000003"/>
    <n v="16.215499999999999"/>
    <n v="7.4"/>
    <s v="March"/>
  </r>
  <r>
    <x v="3"/>
    <s v="Alex"/>
    <s v="Yangon"/>
    <x v="0"/>
    <s v="Female"/>
    <s v="Health and beauty"/>
    <n v="58.22"/>
    <n v="8"/>
    <n v="23.288"/>
    <x v="3"/>
    <d v="2019-01-27T00:00:00"/>
    <s v="8:33:00 PM"/>
    <s v="Ewallet"/>
    <n v="465.76"/>
    <n v="4.7619047620000003"/>
    <n v="23.288"/>
    <n v="8.4"/>
    <s v="January"/>
  </r>
  <r>
    <x v="4"/>
    <s v="Alex"/>
    <s v="Yangon"/>
    <x v="0"/>
    <s v="Female"/>
    <s v="Sports and travel"/>
    <n v="86.31"/>
    <n v="7"/>
    <n v="30.208500000000001"/>
    <x v="4"/>
    <d v="2019-02-08T00:00:00"/>
    <s v="10:37:00 AM"/>
    <s v="Ewallet"/>
    <n v="604.16999999999996"/>
    <n v="4.7619047620000003"/>
    <n v="30.208500000000001"/>
    <n v="5.3"/>
    <s v="February"/>
  </r>
  <r>
    <x v="5"/>
    <s v="Giza"/>
    <s v="Naypyitaw"/>
    <x v="0"/>
    <s v="Female"/>
    <s v="Electronic accessories"/>
    <n v="85.39"/>
    <n v="7"/>
    <n v="29.886500000000002"/>
    <x v="5"/>
    <d v="2019-03-25T00:00:00"/>
    <s v="6:30:00 PM"/>
    <s v="Ewallet"/>
    <n v="597.73"/>
    <n v="4.7619047620000003"/>
    <n v="29.886500000000002"/>
    <n v="4.0999999999999996"/>
    <s v="March"/>
  </r>
  <r>
    <x v="6"/>
    <s v="Alex"/>
    <s v="Yangon"/>
    <x v="0"/>
    <s v="Female"/>
    <s v="Electronic accessories"/>
    <n v="68.84"/>
    <n v="6"/>
    <n v="20.652000000000001"/>
    <x v="6"/>
    <d v="2019-02-25T00:00:00"/>
    <s v="2:36:00 PM"/>
    <s v="Ewallet"/>
    <n v="413.04"/>
    <n v="4.7619047620000003"/>
    <n v="20.652000000000001"/>
    <n v="5.8"/>
    <s v="February"/>
  </r>
  <r>
    <x v="7"/>
    <s v="Giza"/>
    <s v="Naypyitaw"/>
    <x v="0"/>
    <s v="Female"/>
    <s v="Home and lifestyle"/>
    <n v="73.56"/>
    <n v="10"/>
    <n v="36.78"/>
    <x v="7"/>
    <d v="2019-02-24T00:00:00"/>
    <s v="11:38:00 AM"/>
    <s v="Ewallet"/>
    <n v="735.6"/>
    <n v="4.7619047620000003"/>
    <n v="36.78"/>
    <n v="8"/>
    <s v="February"/>
  </r>
  <r>
    <x v="8"/>
    <s v="Alex"/>
    <s v="Yangon"/>
    <x v="0"/>
    <s v="Female"/>
    <s v="Health and beauty"/>
    <n v="36.26"/>
    <n v="2"/>
    <n v="3.6259999999999999"/>
    <x v="8"/>
    <d v="2019-01-10T00:00:00"/>
    <s v="5:15:00 PM"/>
    <s v="Credit card"/>
    <n v="72.52"/>
    <n v="4.7619047620000003"/>
    <n v="3.6259999999999999"/>
    <n v="7.2"/>
    <s v="January"/>
  </r>
  <r>
    <x v="9"/>
    <s v="Cairo"/>
    <s v="Mandalay"/>
    <x v="0"/>
    <s v="Female"/>
    <s v="Food and beverages"/>
    <n v="54.84"/>
    <n v="3"/>
    <n v="8.2260000000000009"/>
    <x v="9"/>
    <d v="2019-02-20T00:00:00"/>
    <s v="1:27:00 PM"/>
    <s v="Credit card"/>
    <n v="164.52"/>
    <n v="4.7619047620000003"/>
    <n v="8.2260000000000009"/>
    <n v="5.9"/>
    <s v="February"/>
  </r>
  <r>
    <x v="10"/>
    <s v="Cairo"/>
    <s v="Mandalay"/>
    <x v="0"/>
    <s v="Female"/>
    <s v="Fashion accessories"/>
    <n v="14.48"/>
    <n v="4"/>
    <n v="2.8959999999999999"/>
    <x v="10"/>
    <d v="2019-02-06T00:00:00"/>
    <s v="6:07:00 PM"/>
    <s v="Ewallet"/>
    <n v="57.92"/>
    <n v="4.7619047620000003"/>
    <n v="2.8959999999999999"/>
    <n v="4.5"/>
    <s v="February"/>
  </r>
  <r>
    <x v="11"/>
    <s v="Cairo"/>
    <s v="Mandalay"/>
    <x v="0"/>
    <s v="Female"/>
    <s v="Electronic accessories"/>
    <n v="25.51"/>
    <n v="4"/>
    <n v="5.1020000000000003"/>
    <x v="11"/>
    <d v="2019-03-09T00:00:00"/>
    <s v="5:03:00 PM"/>
    <s v="Cash"/>
    <n v="102.04"/>
    <n v="4.7619047620000003"/>
    <n v="5.1020000000000003"/>
    <n v="6.8"/>
    <s v="March"/>
  </r>
  <r>
    <x v="12"/>
    <s v="Alex"/>
    <s v="Yangon"/>
    <x v="0"/>
    <s v="Female"/>
    <s v="Electronic accessories"/>
    <n v="46.95"/>
    <n v="5"/>
    <n v="11.737500000000001"/>
    <x v="12"/>
    <d v="2019-02-12T00:00:00"/>
    <s v="10:25:00 AM"/>
    <s v="Ewallet"/>
    <n v="234.75"/>
    <n v="4.7619047620000003"/>
    <n v="11.737500000000001"/>
    <n v="7.1"/>
    <s v="February"/>
  </r>
  <r>
    <x v="13"/>
    <s v="Alex"/>
    <s v="Yangon"/>
    <x v="0"/>
    <s v="Female"/>
    <s v="Food and beverages"/>
    <n v="43.19"/>
    <n v="10"/>
    <n v="21.594999999999999"/>
    <x v="13"/>
    <d v="2019-02-07T00:00:00"/>
    <s v="4:48:00 PM"/>
    <s v="Ewallet"/>
    <n v="431.9"/>
    <n v="4.7619047620000003"/>
    <n v="21.594999999999999"/>
    <n v="8.1999999999999993"/>
    <s v="February"/>
  </r>
  <r>
    <x v="14"/>
    <s v="Alex"/>
    <s v="Yangon"/>
    <x v="0"/>
    <s v="Female"/>
    <s v="Health and beauty"/>
    <n v="71.38"/>
    <n v="10"/>
    <n v="35.69"/>
    <x v="14"/>
    <d v="2019-03-29T00:00:00"/>
    <s v="7:21:00 PM"/>
    <s v="Cash"/>
    <n v="713.8"/>
    <n v="4.7619047620000003"/>
    <n v="35.69"/>
    <n v="5.7"/>
    <s v="March"/>
  </r>
  <r>
    <x v="15"/>
    <s v="Cairo"/>
    <s v="Mandalay"/>
    <x v="0"/>
    <s v="Female"/>
    <s v="Sports and travel"/>
    <n v="93.72"/>
    <n v="6"/>
    <n v="28.116"/>
    <x v="15"/>
    <d v="2019-01-15T00:00:00"/>
    <s v="4:19:00 PM"/>
    <s v="Cash"/>
    <n v="562.32000000000005"/>
    <n v="4.7619047620000003"/>
    <n v="28.116"/>
    <n v="4.5"/>
    <s v="January"/>
  </r>
  <r>
    <x v="16"/>
    <s v="Alex"/>
    <s v="Yangon"/>
    <x v="0"/>
    <s v="Female"/>
    <s v="Health and beauty"/>
    <n v="68.930000000000007"/>
    <n v="7"/>
    <n v="24.125499999999999"/>
    <x v="16"/>
    <d v="2019-03-11T00:00:00"/>
    <s v="11:03:00 AM"/>
    <s v="Credit card"/>
    <n v="482.51"/>
    <n v="4.7619047620000003"/>
    <n v="24.125499999999999"/>
    <n v="4.5999999999999996"/>
    <s v="March"/>
  </r>
  <r>
    <x v="17"/>
    <s v="Alex"/>
    <s v="Yangon"/>
    <x v="0"/>
    <s v="Female"/>
    <s v="Sports and travel"/>
    <n v="72.61"/>
    <n v="6"/>
    <n v="21.783000000000001"/>
    <x v="17"/>
    <d v="2019-01-01T00:00:00"/>
    <s v="10:39:00 AM"/>
    <s v="Credit card"/>
    <n v="435.66"/>
    <n v="4.7619047620000003"/>
    <n v="21.783000000000001"/>
    <n v="6.9"/>
    <s v="January"/>
  </r>
  <r>
    <x v="18"/>
    <s v="Alex"/>
    <s v="Yangon"/>
    <x v="0"/>
    <s v="Female"/>
    <s v="Food and beverages"/>
    <n v="54.67"/>
    <n v="3"/>
    <n v="8.2004999999999999"/>
    <x v="18"/>
    <d v="2019-01-21T00:00:00"/>
    <s v="6:00:00 PM"/>
    <s v="Credit card"/>
    <n v="164.01"/>
    <n v="4.7619047620000003"/>
    <n v="8.2004999999999999"/>
    <n v="8.6"/>
    <s v="January"/>
  </r>
  <r>
    <x v="19"/>
    <s v="Cairo"/>
    <s v="Mandalay"/>
    <x v="0"/>
    <s v="Female"/>
    <s v="Home and lifestyle"/>
    <n v="40.299999999999997"/>
    <n v="2"/>
    <n v="4.03"/>
    <x v="19"/>
    <d v="2019-03-11T00:00:00"/>
    <s v="3:30:00 PM"/>
    <s v="Ewallet"/>
    <n v="80.599999999999994"/>
    <n v="4.7619047620000003"/>
    <n v="4.03"/>
    <n v="4.4000000000000004"/>
    <s v="March"/>
  </r>
  <r>
    <x v="20"/>
    <s v="Giza"/>
    <s v="Naypyitaw"/>
    <x v="0"/>
    <s v="Female"/>
    <s v="Electronic accessories"/>
    <n v="86.04"/>
    <n v="5"/>
    <n v="21.51"/>
    <x v="20"/>
    <d v="2019-02-25T00:00:00"/>
    <s v="11:24:00 AM"/>
    <s v="Ewallet"/>
    <n v="430.2"/>
    <n v="4.7619047620000003"/>
    <n v="21.51"/>
    <n v="4.8"/>
    <s v="February"/>
  </r>
  <r>
    <x v="21"/>
    <s v="Cairo"/>
    <s v="Mandalay"/>
    <x v="0"/>
    <s v="Female"/>
    <s v="Health and beauty"/>
    <n v="87.98"/>
    <n v="3"/>
    <n v="13.196999999999999"/>
    <x v="21"/>
    <d v="2019-03-05T00:00:00"/>
    <s v="10:40:00 AM"/>
    <s v="Ewallet"/>
    <n v="263.94"/>
    <n v="4.7619047620000003"/>
    <n v="13.196999999999999"/>
    <n v="5.0999999999999996"/>
    <s v="March"/>
  </r>
  <r>
    <x v="22"/>
    <s v="Cairo"/>
    <s v="Mandalay"/>
    <x v="0"/>
    <s v="Female"/>
    <s v="Home and lifestyle"/>
    <n v="33.200000000000003"/>
    <n v="2"/>
    <n v="3.32"/>
    <x v="22"/>
    <d v="2019-03-15T00:00:00"/>
    <s v="12:20:00 PM"/>
    <s v="Credit card"/>
    <n v="66.400000000000006"/>
    <n v="4.7619047620000003"/>
    <n v="3.32"/>
    <n v="4.4000000000000004"/>
    <s v="March"/>
  </r>
  <r>
    <x v="23"/>
    <s v="Alex"/>
    <s v="Yangon"/>
    <x v="0"/>
    <s v="Female"/>
    <s v="Electronic accessories"/>
    <n v="34.56"/>
    <n v="5"/>
    <n v="8.64"/>
    <x v="23"/>
    <d v="2019-02-17T00:00:00"/>
    <s v="11:15:00 AM"/>
    <s v="Ewallet"/>
    <n v="172.8"/>
    <n v="4.7619047620000003"/>
    <n v="8.64"/>
    <n v="9.9"/>
    <s v="February"/>
  </r>
  <r>
    <x v="24"/>
    <s v="Alex"/>
    <s v="Yangon"/>
    <x v="0"/>
    <s v="Female"/>
    <s v="Sports and travel"/>
    <n v="88.63"/>
    <n v="3"/>
    <n v="13.294499999999999"/>
    <x v="24"/>
    <d v="2019-03-02T00:00:00"/>
    <s v="5:36:00 PM"/>
    <s v="Ewallet"/>
    <n v="265.89"/>
    <n v="4.7619047620000003"/>
    <n v="13.294499999999999"/>
    <n v="6"/>
    <s v="March"/>
  </r>
  <r>
    <x v="25"/>
    <s v="Alex"/>
    <s v="Yangon"/>
    <x v="0"/>
    <s v="Female"/>
    <s v="Home and lifestyle"/>
    <n v="52.59"/>
    <n v="8"/>
    <n v="21.036000000000001"/>
    <x v="25"/>
    <d v="2019-03-22T00:00:00"/>
    <s v="7:20:00 PM"/>
    <s v="Credit card"/>
    <n v="420.72"/>
    <n v="4.7619047620000003"/>
    <n v="21.036000000000001"/>
    <n v="8.5"/>
    <s v="March"/>
  </r>
  <r>
    <x v="26"/>
    <s v="Cairo"/>
    <s v="Mandalay"/>
    <x v="0"/>
    <s v="Female"/>
    <s v="Fashion accessories"/>
    <n v="33.520000000000003"/>
    <n v="1"/>
    <n v="1.6759999999999999"/>
    <x v="26"/>
    <d v="2019-02-08T00:00:00"/>
    <s v="3:31:00 PM"/>
    <s v="Cash"/>
    <n v="33.520000000000003"/>
    <n v="4.7619047620000003"/>
    <n v="1.6759999999999999"/>
    <n v="6.7"/>
    <s v="February"/>
  </r>
  <r>
    <x v="27"/>
    <s v="Alex"/>
    <s v="Yangon"/>
    <x v="0"/>
    <s v="Female"/>
    <s v="Fashion accessories"/>
    <n v="87.67"/>
    <n v="2"/>
    <n v="8.7669999999999995"/>
    <x v="27"/>
    <d v="2019-03-10T00:00:00"/>
    <s v="12:17:00 PM"/>
    <s v="Credit card"/>
    <n v="175.34"/>
    <n v="4.7619047620000003"/>
    <n v="8.7669999999999995"/>
    <n v="7.7"/>
    <s v="March"/>
  </r>
  <r>
    <x v="28"/>
    <s v="Cairo"/>
    <s v="Mandalay"/>
    <x v="0"/>
    <s v="Female"/>
    <s v="Food and beverages"/>
    <n v="88.36"/>
    <n v="5"/>
    <n v="22.09"/>
    <x v="28"/>
    <d v="2019-01-25T00:00:00"/>
    <s v="7:48:00 PM"/>
    <s v="Cash"/>
    <n v="441.8"/>
    <n v="4.7619047620000003"/>
    <n v="22.09"/>
    <n v="9.6"/>
    <s v="January"/>
  </r>
  <r>
    <x v="29"/>
    <s v="Alex"/>
    <s v="Yangon"/>
    <x v="0"/>
    <s v="Female"/>
    <s v="Health and beauty"/>
    <n v="24.89"/>
    <n v="9"/>
    <n v="11.2005"/>
    <x v="29"/>
    <d v="2019-03-15T00:00:00"/>
    <s v="3:36:00 PM"/>
    <s v="Cash"/>
    <n v="224.01"/>
    <n v="4.7619047620000003"/>
    <n v="11.2005"/>
    <n v="7.4"/>
    <s v="March"/>
  </r>
  <r>
    <x v="30"/>
    <s v="Cairo"/>
    <s v="Mandalay"/>
    <x v="0"/>
    <s v="Female"/>
    <s v="Fashion accessories"/>
    <n v="94.13"/>
    <n v="5"/>
    <n v="23.532499999999999"/>
    <x v="30"/>
    <d v="2019-02-25T00:00:00"/>
    <s v="7:39:00 PM"/>
    <s v="Credit card"/>
    <n v="470.65"/>
    <n v="4.7619047620000003"/>
    <n v="23.532499999999999"/>
    <n v="4.8"/>
    <s v="February"/>
  </r>
  <r>
    <x v="31"/>
    <s v="Cairo"/>
    <s v="Mandalay"/>
    <x v="0"/>
    <s v="Female"/>
    <s v="Sports and travel"/>
    <n v="78.069999999999993"/>
    <n v="9"/>
    <n v="35.131500000000003"/>
    <x v="31"/>
    <d v="2019-01-28T00:00:00"/>
    <s v="12:43:00 PM"/>
    <s v="Cash"/>
    <n v="702.63"/>
    <n v="4.7619047620000003"/>
    <n v="35.131500000000003"/>
    <n v="4.5"/>
    <s v="January"/>
  </r>
  <r>
    <x v="32"/>
    <s v="Cairo"/>
    <s v="Mandalay"/>
    <x v="0"/>
    <s v="Female"/>
    <s v="Sports and travel"/>
    <n v="83.78"/>
    <n v="8"/>
    <n v="33.512"/>
    <x v="32"/>
    <d v="2019-01-10T00:00:00"/>
    <s v="2:49:00 PM"/>
    <s v="Cash"/>
    <n v="670.24"/>
    <n v="4.7619047620000003"/>
    <n v="33.512"/>
    <n v="5.0999999999999996"/>
    <s v="January"/>
  </r>
  <r>
    <x v="33"/>
    <s v="Alex"/>
    <s v="Yangon"/>
    <x v="0"/>
    <s v="Female"/>
    <s v="Health and beauty"/>
    <n v="96.58"/>
    <n v="2"/>
    <n v="9.6579999999999995"/>
    <x v="33"/>
    <d v="2019-03-15T00:00:00"/>
    <s v="10:12:00 AM"/>
    <s v="Credit card"/>
    <n v="193.16"/>
    <n v="4.7619047620000003"/>
    <n v="9.6579999999999995"/>
    <n v="5.0999999999999996"/>
    <s v="March"/>
  </r>
  <r>
    <x v="34"/>
    <s v="Giza"/>
    <s v="Naypyitaw"/>
    <x v="0"/>
    <s v="Female"/>
    <s v="Food and beverages"/>
    <n v="99.42"/>
    <n v="4"/>
    <n v="19.884"/>
    <x v="34"/>
    <d v="2019-02-06T00:00:00"/>
    <s v="10:42:00 AM"/>
    <s v="Ewallet"/>
    <n v="397.68"/>
    <n v="4.7619047620000003"/>
    <n v="19.884"/>
    <n v="7.5"/>
    <s v="February"/>
  </r>
  <r>
    <x v="35"/>
    <s v="Giza"/>
    <s v="Naypyitaw"/>
    <x v="0"/>
    <s v="Female"/>
    <s v="Sports and travel"/>
    <n v="68.12"/>
    <n v="1"/>
    <n v="3.4060000000000001"/>
    <x v="35"/>
    <d v="2019-01-07T00:00:00"/>
    <s v="12:28:00 PM"/>
    <s v="Ewallet"/>
    <n v="68.12"/>
    <n v="4.7619047620000003"/>
    <n v="3.4060000000000001"/>
    <n v="6.8"/>
    <s v="January"/>
  </r>
  <r>
    <x v="36"/>
    <s v="Alex"/>
    <s v="Yangon"/>
    <x v="0"/>
    <s v="Female"/>
    <s v="Sports and travel"/>
    <n v="62.62"/>
    <n v="5"/>
    <n v="15.654999999999999"/>
    <x v="36"/>
    <d v="2019-03-10T00:00:00"/>
    <s v="7:15:00 PM"/>
    <s v="Ewallet"/>
    <n v="313.10000000000002"/>
    <n v="4.7619047620000003"/>
    <n v="15.654999999999999"/>
    <n v="7"/>
    <s v="March"/>
  </r>
  <r>
    <x v="37"/>
    <s v="Alex"/>
    <s v="Yangon"/>
    <x v="0"/>
    <s v="Female"/>
    <s v="Electronic accessories"/>
    <n v="60.88"/>
    <n v="9"/>
    <n v="27.396000000000001"/>
    <x v="37"/>
    <d v="2019-01-15T00:00:00"/>
    <s v="5:17:00 PM"/>
    <s v="Ewallet"/>
    <n v="547.91999999999996"/>
    <n v="4.7619047620000003"/>
    <n v="27.396000000000001"/>
    <n v="4.7"/>
    <s v="January"/>
  </r>
  <r>
    <x v="38"/>
    <s v="Giza"/>
    <s v="Naypyitaw"/>
    <x v="0"/>
    <s v="Female"/>
    <s v="Health and beauty"/>
    <n v="54.92"/>
    <n v="8"/>
    <n v="21.968"/>
    <x v="38"/>
    <d v="2019-03-23T00:00:00"/>
    <s v="1:24:00 PM"/>
    <s v="Ewallet"/>
    <n v="439.36"/>
    <n v="4.7619047620000003"/>
    <n v="21.968"/>
    <n v="7.6"/>
    <s v="March"/>
  </r>
  <r>
    <x v="39"/>
    <s v="Cairo"/>
    <s v="Mandalay"/>
    <x v="0"/>
    <s v="Female"/>
    <s v="Home and lifestyle"/>
    <n v="30.12"/>
    <n v="8"/>
    <n v="12.048"/>
    <x v="39"/>
    <d v="2019-03-03T00:00:00"/>
    <s v="1:01:00 PM"/>
    <s v="Cash"/>
    <n v="240.96"/>
    <n v="4.7619047620000003"/>
    <n v="12.048"/>
    <n v="7.7"/>
    <s v="March"/>
  </r>
  <r>
    <x v="40"/>
    <s v="Cairo"/>
    <s v="Mandalay"/>
    <x v="0"/>
    <s v="Female"/>
    <s v="Home and lifestyle"/>
    <n v="86.72"/>
    <n v="1"/>
    <n v="4.3360000000000003"/>
    <x v="40"/>
    <d v="2019-01-17T00:00:00"/>
    <s v="6:45:00 PM"/>
    <s v="Ewallet"/>
    <n v="86.72"/>
    <n v="4.7619047620000003"/>
    <n v="4.3360000000000003"/>
    <n v="7.9"/>
    <s v="January"/>
  </r>
  <r>
    <x v="41"/>
    <s v="Giza"/>
    <s v="Naypyitaw"/>
    <x v="0"/>
    <s v="Female"/>
    <s v="Home and lifestyle"/>
    <n v="56.11"/>
    <n v="2"/>
    <n v="5.6109999999999998"/>
    <x v="41"/>
    <d v="2019-02-02T00:00:00"/>
    <s v="10:11:00 AM"/>
    <s v="Cash"/>
    <n v="112.22"/>
    <n v="4.7619047620000003"/>
    <n v="5.6109999999999998"/>
    <n v="6.3"/>
    <s v="February"/>
  </r>
  <r>
    <x v="42"/>
    <s v="Cairo"/>
    <s v="Mandalay"/>
    <x v="0"/>
    <s v="Female"/>
    <s v="Sports and travel"/>
    <n v="69.12"/>
    <n v="6"/>
    <n v="20.736000000000001"/>
    <x v="42"/>
    <d v="2019-02-08T00:00:00"/>
    <s v="1:03:00 PM"/>
    <s v="Cash"/>
    <n v="414.72"/>
    <n v="4.7619047620000003"/>
    <n v="20.736000000000001"/>
    <n v="5.6"/>
    <s v="February"/>
  </r>
  <r>
    <x v="43"/>
    <s v="Giza"/>
    <s v="Naypyitaw"/>
    <x v="0"/>
    <s v="Female"/>
    <s v="Food and beverages"/>
    <n v="98.7"/>
    <n v="8"/>
    <n v="39.479999999999997"/>
    <x v="43"/>
    <d v="2019-03-04T00:00:00"/>
    <s v="8:39:00 PM"/>
    <s v="Cash"/>
    <n v="789.6"/>
    <n v="4.7619047620000003"/>
    <n v="39.479999999999997"/>
    <n v="7.6"/>
    <s v="March"/>
  </r>
  <r>
    <x v="44"/>
    <s v="Giza"/>
    <s v="Naypyitaw"/>
    <x v="0"/>
    <s v="Female"/>
    <s v="Health and beauty"/>
    <n v="15.37"/>
    <n v="2"/>
    <n v="1.5369999999999999"/>
    <x v="44"/>
    <d v="2019-03-16T00:00:00"/>
    <s v="7:47:00 PM"/>
    <s v="Cash"/>
    <n v="30.74"/>
    <n v="4.7619047620000003"/>
    <n v="1.5369999999999999"/>
    <n v="7.2"/>
    <s v="March"/>
  </r>
  <r>
    <x v="45"/>
    <s v="Cairo"/>
    <s v="Mandalay"/>
    <x v="0"/>
    <s v="Female"/>
    <s v="Electronic accessories"/>
    <n v="93.96"/>
    <n v="4"/>
    <n v="18.792000000000002"/>
    <x v="45"/>
    <d v="2019-03-09T00:00:00"/>
    <s v="6:00:00 PM"/>
    <s v="Cash"/>
    <n v="375.84"/>
    <n v="4.7619047620000003"/>
    <n v="18.792000000000002"/>
    <n v="9.5"/>
    <s v="March"/>
  </r>
  <r>
    <x v="46"/>
    <s v="Cairo"/>
    <s v="Mandalay"/>
    <x v="0"/>
    <s v="Female"/>
    <s v="Health and beauty"/>
    <n v="56.69"/>
    <n v="9"/>
    <n v="25.5105"/>
    <x v="46"/>
    <d v="2019-02-27T00:00:00"/>
    <s v="5:24:00 PM"/>
    <s v="Credit card"/>
    <n v="510.21"/>
    <n v="4.7619047620000003"/>
    <n v="25.5105"/>
    <n v="8.4"/>
    <s v="February"/>
  </r>
  <r>
    <x v="47"/>
    <s v="Cairo"/>
    <s v="Mandalay"/>
    <x v="0"/>
    <s v="Female"/>
    <s v="Food and beverages"/>
    <n v="20.010000000000002"/>
    <n v="9"/>
    <n v="9.0045000000000002"/>
    <x v="47"/>
    <d v="2019-02-06T00:00:00"/>
    <s v="3:47:00 PM"/>
    <s v="Ewallet"/>
    <n v="180.09"/>
    <n v="4.7619047620000003"/>
    <n v="9.0045000000000002"/>
    <n v="4.0999999999999996"/>
    <s v="February"/>
  </r>
  <r>
    <x v="48"/>
    <s v="Cairo"/>
    <s v="Mandalay"/>
    <x v="0"/>
    <s v="Female"/>
    <s v="Electronic accessories"/>
    <n v="18.93"/>
    <n v="6"/>
    <n v="5.6790000000000003"/>
    <x v="48"/>
    <d v="2019-02-10T00:00:00"/>
    <s v="12:45:00 PM"/>
    <s v="Credit card"/>
    <n v="113.58"/>
    <n v="4.7619047620000003"/>
    <n v="5.6790000000000003"/>
    <n v="8.1"/>
    <s v="February"/>
  </r>
  <r>
    <x v="49"/>
    <s v="Giza"/>
    <s v="Naypyitaw"/>
    <x v="0"/>
    <s v="Female"/>
    <s v="Fashion accessories"/>
    <n v="82.63"/>
    <n v="10"/>
    <n v="41.314999999999998"/>
    <x v="49"/>
    <d v="2019-03-19T00:00:00"/>
    <s v="5:08:00 PM"/>
    <s v="Ewallet"/>
    <n v="826.3"/>
    <n v="4.7619047620000003"/>
    <n v="41.314999999999998"/>
    <n v="7.9"/>
    <s v="March"/>
  </r>
  <r>
    <x v="50"/>
    <s v="Giza"/>
    <s v="Naypyitaw"/>
    <x v="0"/>
    <s v="Female"/>
    <s v="Food and beverages"/>
    <n v="91.4"/>
    <n v="7"/>
    <n v="31.99"/>
    <x v="50"/>
    <d v="2019-02-03T00:00:00"/>
    <s v="10:19:00 AM"/>
    <s v="Cash"/>
    <n v="639.79999999999995"/>
    <n v="4.7619047620000003"/>
    <n v="31.99"/>
    <n v="9.5"/>
    <s v="February"/>
  </r>
  <r>
    <x v="51"/>
    <s v="Alex"/>
    <s v="Yangon"/>
    <x v="0"/>
    <s v="Female"/>
    <s v="Food and beverages"/>
    <n v="44.59"/>
    <n v="5"/>
    <n v="11.147500000000001"/>
    <x v="51"/>
    <d v="2019-02-10T00:00:00"/>
    <s v="3:10:00 PM"/>
    <s v="Cash"/>
    <n v="222.95"/>
    <n v="4.7619047620000003"/>
    <n v="11.147500000000001"/>
    <n v="8.5"/>
    <s v="February"/>
  </r>
  <r>
    <x v="52"/>
    <s v="Cairo"/>
    <s v="Mandalay"/>
    <x v="0"/>
    <s v="Female"/>
    <s v="Fashion accessories"/>
    <n v="17.87"/>
    <n v="4"/>
    <n v="3.5739999999999998"/>
    <x v="52"/>
    <d v="2019-03-22T00:00:00"/>
    <s v="2:42:00 PM"/>
    <s v="Ewallet"/>
    <n v="71.48"/>
    <n v="4.7619047620000003"/>
    <n v="3.5739999999999998"/>
    <n v="6.5"/>
    <s v="March"/>
  </r>
  <r>
    <x v="53"/>
    <s v="Giza"/>
    <s v="Naypyitaw"/>
    <x v="0"/>
    <s v="Female"/>
    <s v="Fashion accessories"/>
    <n v="15.43"/>
    <n v="1"/>
    <n v="0.77149999999999996"/>
    <x v="53"/>
    <d v="2019-01-25T00:00:00"/>
    <s v="3:46:00 PM"/>
    <s v="Credit card"/>
    <n v="15.43"/>
    <n v="4.7619047620000003"/>
    <n v="0.77149999999999996"/>
    <n v="6.1"/>
    <s v="January"/>
  </r>
  <r>
    <x v="54"/>
    <s v="Cairo"/>
    <s v="Mandalay"/>
    <x v="0"/>
    <s v="Female"/>
    <s v="Home and lifestyle"/>
    <n v="16.16"/>
    <n v="2"/>
    <n v="1.6160000000000001"/>
    <x v="54"/>
    <d v="2019-03-07T00:00:00"/>
    <s v="11:49:00 AM"/>
    <s v="Ewallet"/>
    <n v="32.32"/>
    <n v="4.7619047620000003"/>
    <n v="1.6160000000000001"/>
    <n v="6.5"/>
    <s v="March"/>
  </r>
  <r>
    <x v="55"/>
    <s v="Giza"/>
    <s v="Naypyitaw"/>
    <x v="0"/>
    <s v="Female"/>
    <s v="Electronic accessories"/>
    <n v="85.98"/>
    <n v="8"/>
    <n v="34.392000000000003"/>
    <x v="55"/>
    <d v="2019-02-28T00:00:00"/>
    <s v="7:01:00 PM"/>
    <s v="Cash"/>
    <n v="687.84"/>
    <n v="4.7619047620000003"/>
    <n v="34.392000000000003"/>
    <n v="8.1999999999999993"/>
    <s v="February"/>
  </r>
  <r>
    <x v="56"/>
    <s v="Alex"/>
    <s v="Yangon"/>
    <x v="0"/>
    <s v="Female"/>
    <s v="Home and lifestyle"/>
    <n v="44.34"/>
    <n v="2"/>
    <n v="4.4340000000000002"/>
    <x v="56"/>
    <d v="2019-03-27T00:00:00"/>
    <s v="11:26:00 AM"/>
    <s v="Cash"/>
    <n v="88.68"/>
    <n v="4.7619047620000003"/>
    <n v="4.4340000000000002"/>
    <n v="5.8"/>
    <s v="March"/>
  </r>
  <r>
    <x v="57"/>
    <s v="Alex"/>
    <s v="Yangon"/>
    <x v="0"/>
    <s v="Female"/>
    <s v="Health and beauty"/>
    <n v="89.6"/>
    <n v="8"/>
    <n v="35.840000000000003"/>
    <x v="57"/>
    <d v="2019-02-07T00:00:00"/>
    <s v="11:28:00 AM"/>
    <s v="Ewallet"/>
    <n v="716.8"/>
    <n v="4.7619047620000003"/>
    <n v="35.840000000000003"/>
    <n v="6.6"/>
    <s v="February"/>
  </r>
  <r>
    <x v="58"/>
    <s v="Alex"/>
    <s v="Yangon"/>
    <x v="0"/>
    <s v="Female"/>
    <s v="Home and lifestyle"/>
    <n v="72.349999999999994"/>
    <n v="10"/>
    <n v="36.174999999999997"/>
    <x v="58"/>
    <d v="2019-01-20T00:00:00"/>
    <s v="3:55:00 PM"/>
    <s v="Cash"/>
    <n v="723.5"/>
    <n v="4.7619047620000003"/>
    <n v="36.174999999999997"/>
    <n v="5.4"/>
    <s v="January"/>
  </r>
  <r>
    <x v="59"/>
    <s v="Giza"/>
    <s v="Naypyitaw"/>
    <x v="0"/>
    <s v="Female"/>
    <s v="Electronic accessories"/>
    <n v="30.61"/>
    <n v="6"/>
    <n v="9.1829999999999998"/>
    <x v="59"/>
    <d v="2019-03-12T00:00:00"/>
    <s v="8:36:00 PM"/>
    <s v="Cash"/>
    <n v="183.66"/>
    <n v="4.7619047620000003"/>
    <n v="9.1829999999999998"/>
    <n v="9.3000000000000007"/>
    <s v="March"/>
  </r>
  <r>
    <x v="60"/>
    <s v="Giza"/>
    <s v="Naypyitaw"/>
    <x v="0"/>
    <s v="Female"/>
    <s v="Sports and travel"/>
    <n v="24.74"/>
    <n v="3"/>
    <n v="3.7109999999999999"/>
    <x v="60"/>
    <d v="2019-02-15T00:00:00"/>
    <s v="5:47:00 PM"/>
    <s v="Credit card"/>
    <n v="74.22"/>
    <n v="4.7619047620000003"/>
    <n v="3.7109999999999999"/>
    <n v="10"/>
    <s v="February"/>
  </r>
  <r>
    <x v="61"/>
    <s v="Giza"/>
    <s v="Naypyitaw"/>
    <x v="0"/>
    <s v="Female"/>
    <s v="Home and lifestyle"/>
    <n v="55.73"/>
    <n v="6"/>
    <n v="16.719000000000001"/>
    <x v="61"/>
    <d v="2019-02-24T00:00:00"/>
    <s v="10:55:00 AM"/>
    <s v="Ewallet"/>
    <n v="334.38"/>
    <n v="4.7619047620000003"/>
    <n v="16.719000000000001"/>
    <n v="7"/>
    <s v="February"/>
  </r>
  <r>
    <x v="62"/>
    <s v="Cairo"/>
    <s v="Mandalay"/>
    <x v="0"/>
    <s v="Female"/>
    <s v="Sports and travel"/>
    <n v="55.07"/>
    <n v="9"/>
    <n v="24.781500000000001"/>
    <x v="62"/>
    <d v="2019-02-03T00:00:00"/>
    <s v="1:40:00 PM"/>
    <s v="Ewallet"/>
    <n v="495.63"/>
    <n v="4.7619047620000003"/>
    <n v="24.781500000000001"/>
    <n v="10"/>
    <s v="February"/>
  </r>
  <r>
    <x v="63"/>
    <s v="Alex"/>
    <s v="Yangon"/>
    <x v="0"/>
    <s v="Female"/>
    <s v="Sports and travel"/>
    <n v="15.81"/>
    <n v="10"/>
    <n v="7.9050000000000002"/>
    <x v="63"/>
    <d v="2019-03-06T00:00:00"/>
    <s v="12:27:00 PM"/>
    <s v="Credit card"/>
    <n v="158.1"/>
    <n v="4.7619047620000003"/>
    <n v="7.9050000000000002"/>
    <n v="8.6"/>
    <s v="March"/>
  </r>
  <r>
    <x v="64"/>
    <s v="Cairo"/>
    <s v="Mandalay"/>
    <x v="0"/>
    <s v="Female"/>
    <s v="Health and beauty"/>
    <n v="75.739999999999995"/>
    <n v="4"/>
    <n v="15.148"/>
    <x v="64"/>
    <d v="2019-02-14T00:00:00"/>
    <s v="2:35:00 PM"/>
    <s v="Cash"/>
    <n v="302.95999999999998"/>
    <n v="4.7619047620000003"/>
    <n v="15.148"/>
    <n v="7.6"/>
    <s v="February"/>
  </r>
  <r>
    <x v="65"/>
    <s v="Alex"/>
    <s v="Yangon"/>
    <x v="0"/>
    <s v="Female"/>
    <s v="Health and beauty"/>
    <n v="15.87"/>
    <n v="10"/>
    <n v="7.9349999999999996"/>
    <x v="65"/>
    <d v="2019-03-13T00:00:00"/>
    <s v="4:40:00 PM"/>
    <s v="Cash"/>
    <n v="158.69999999999999"/>
    <n v="4.7619047620000003"/>
    <n v="7.9349999999999996"/>
    <n v="5.8"/>
    <s v="March"/>
  </r>
  <r>
    <x v="66"/>
    <s v="Giza"/>
    <s v="Naypyitaw"/>
    <x v="0"/>
    <s v="Female"/>
    <s v="Health and beauty"/>
    <n v="33.47"/>
    <n v="2"/>
    <n v="3.347"/>
    <x v="66"/>
    <d v="2019-02-10T00:00:00"/>
    <s v="3:43:00 PM"/>
    <s v="Ewallet"/>
    <n v="66.94"/>
    <n v="4.7619047620000003"/>
    <n v="3.347"/>
    <n v="6.7"/>
    <s v="February"/>
  </r>
  <r>
    <x v="67"/>
    <s v="Cairo"/>
    <s v="Mandalay"/>
    <x v="0"/>
    <s v="Female"/>
    <s v="Fashion accessories"/>
    <n v="97.61"/>
    <n v="6"/>
    <n v="29.283000000000001"/>
    <x v="67"/>
    <d v="2019-01-07T00:00:00"/>
    <s v="3:01:00 PM"/>
    <s v="Ewallet"/>
    <n v="585.66"/>
    <n v="4.7619047620000003"/>
    <n v="29.283000000000001"/>
    <n v="9.9"/>
    <s v="January"/>
  </r>
  <r>
    <x v="68"/>
    <s v="Alex"/>
    <s v="Yangon"/>
    <x v="0"/>
    <s v="Female"/>
    <s v="Sports and travel"/>
    <n v="78.77"/>
    <n v="10"/>
    <n v="39.384999999999998"/>
    <x v="68"/>
    <d v="2019-01-24T00:00:00"/>
    <s v="10:04:00 AM"/>
    <s v="Cash"/>
    <n v="787.7"/>
    <n v="4.7619047620000003"/>
    <n v="39.384999999999998"/>
    <n v="6.4"/>
    <s v="January"/>
  </r>
  <r>
    <x v="69"/>
    <s v="Alex"/>
    <s v="Yangon"/>
    <x v="0"/>
    <s v="Female"/>
    <s v="Health and beauty"/>
    <n v="18.329999999999998"/>
    <n v="1"/>
    <n v="0.91649999999999998"/>
    <x v="69"/>
    <d v="2019-02-02T00:00:00"/>
    <s v="6:50:00 PM"/>
    <s v="Cash"/>
    <n v="18.329999999999998"/>
    <n v="4.7619047620000003"/>
    <n v="0.91649999999999998"/>
    <n v="4.3"/>
    <s v="February"/>
  </r>
  <r>
    <x v="70"/>
    <s v="Giza"/>
    <s v="Naypyitaw"/>
    <x v="0"/>
    <s v="Female"/>
    <s v="Food and beverages"/>
    <n v="89.48"/>
    <n v="10"/>
    <n v="44.74"/>
    <x v="70"/>
    <d v="2019-01-06T00:00:00"/>
    <s v="12:46:00 PM"/>
    <s v="Credit card"/>
    <n v="894.8"/>
    <n v="4.7619047620000003"/>
    <n v="44.74"/>
    <n v="9.6"/>
    <s v="January"/>
  </r>
  <r>
    <x v="71"/>
    <s v="Giza"/>
    <s v="Naypyitaw"/>
    <x v="0"/>
    <s v="Female"/>
    <s v="Fashion accessories"/>
    <n v="62.12"/>
    <n v="10"/>
    <n v="31.06"/>
    <x v="71"/>
    <d v="2019-02-11T00:00:00"/>
    <s v="4:19:00 PM"/>
    <s v="Cash"/>
    <n v="621.20000000000005"/>
    <n v="4.7619047620000003"/>
    <n v="31.06"/>
    <n v="5.9"/>
    <s v="February"/>
  </r>
  <r>
    <x v="72"/>
    <s v="Cairo"/>
    <s v="Mandalay"/>
    <x v="0"/>
    <s v="Female"/>
    <s v="Food and beverages"/>
    <n v="48.52"/>
    <n v="3"/>
    <n v="7.2779999999999996"/>
    <x v="72"/>
    <d v="2019-03-05T00:00:00"/>
    <s v="6:17:00 PM"/>
    <s v="Ewallet"/>
    <n v="145.56"/>
    <n v="4.7619047620000003"/>
    <n v="7.2779999999999996"/>
    <n v="4"/>
    <s v="March"/>
  </r>
  <r>
    <x v="73"/>
    <s v="Giza"/>
    <s v="Naypyitaw"/>
    <x v="0"/>
    <s v="Female"/>
    <s v="Electronic accessories"/>
    <n v="75.91"/>
    <n v="6"/>
    <n v="22.773"/>
    <x v="73"/>
    <d v="2019-03-09T00:00:00"/>
    <s v="6:21:00 PM"/>
    <s v="Cash"/>
    <n v="455.46"/>
    <n v="4.7619047620000003"/>
    <n v="22.773"/>
    <n v="8.6999999999999993"/>
    <s v="March"/>
  </r>
  <r>
    <x v="74"/>
    <s v="Alex"/>
    <s v="Yangon"/>
    <x v="0"/>
    <s v="Female"/>
    <s v="Home and lifestyle"/>
    <n v="74.67"/>
    <n v="9"/>
    <n v="33.601500000000001"/>
    <x v="74"/>
    <d v="2019-01-22T00:00:00"/>
    <s v="10:55:00 AM"/>
    <s v="Ewallet"/>
    <n v="672.03"/>
    <n v="4.7619047620000003"/>
    <n v="33.601500000000001"/>
    <n v="9.4"/>
    <s v="January"/>
  </r>
  <r>
    <x v="75"/>
    <s v="Giza"/>
    <s v="Naypyitaw"/>
    <x v="0"/>
    <s v="Female"/>
    <s v="Electronic accessories"/>
    <n v="41.65"/>
    <n v="10"/>
    <n v="20.824999999999999"/>
    <x v="75"/>
    <d v="2019-01-13T00:00:00"/>
    <s v="5:04:00 PM"/>
    <s v="Credit card"/>
    <n v="416.5"/>
    <n v="4.7619047620000003"/>
    <n v="20.824999999999999"/>
    <n v="5.4"/>
    <s v="January"/>
  </r>
  <r>
    <x v="76"/>
    <s v="Giza"/>
    <s v="Naypyitaw"/>
    <x v="0"/>
    <s v="Female"/>
    <s v="Fashion accessories"/>
    <n v="49.04"/>
    <n v="9"/>
    <n v="22.068000000000001"/>
    <x v="76"/>
    <d v="2019-01-09T00:00:00"/>
    <s v="2:20:00 PM"/>
    <s v="Credit card"/>
    <n v="441.36"/>
    <n v="4.7619047620000003"/>
    <n v="22.068000000000001"/>
    <n v="8.6"/>
    <s v="January"/>
  </r>
  <r>
    <x v="77"/>
    <s v="Alex"/>
    <s v="Yangon"/>
    <x v="0"/>
    <s v="Female"/>
    <s v="Fashion accessories"/>
    <n v="20.010000000000002"/>
    <n v="9"/>
    <n v="9.0045000000000002"/>
    <x v="47"/>
    <d v="2019-01-12T00:00:00"/>
    <s v="3:48:00 PM"/>
    <s v="Credit card"/>
    <n v="180.09"/>
    <n v="4.7619047620000003"/>
    <n v="9.0045000000000002"/>
    <n v="5.7"/>
    <s v="January"/>
  </r>
  <r>
    <x v="78"/>
    <s v="Giza"/>
    <s v="Naypyitaw"/>
    <x v="0"/>
    <s v="Female"/>
    <s v="Food and beverages"/>
    <n v="78.31"/>
    <n v="10"/>
    <n v="39.155000000000001"/>
    <x v="77"/>
    <d v="2019-03-05T00:00:00"/>
    <s v="4:24:00 PM"/>
    <s v="Ewallet"/>
    <n v="783.1"/>
    <n v="4.7619047620000003"/>
    <n v="39.155000000000001"/>
    <n v="6.6"/>
    <s v="March"/>
  </r>
  <r>
    <x v="79"/>
    <s v="Giza"/>
    <s v="Naypyitaw"/>
    <x v="0"/>
    <s v="Female"/>
    <s v="Health and beauty"/>
    <n v="20.38"/>
    <n v="5"/>
    <n v="5.0949999999999998"/>
    <x v="78"/>
    <d v="2019-01-22T00:00:00"/>
    <s v="6:56:00 PM"/>
    <s v="Cash"/>
    <n v="101.9"/>
    <n v="4.7619047620000003"/>
    <n v="5.0949999999999998"/>
    <n v="6"/>
    <s v="January"/>
  </r>
  <r>
    <x v="80"/>
    <s v="Giza"/>
    <s v="Naypyitaw"/>
    <x v="0"/>
    <s v="Female"/>
    <s v="Health and beauty"/>
    <n v="99.19"/>
    <n v="6"/>
    <n v="29.757000000000001"/>
    <x v="79"/>
    <d v="2019-01-21T00:00:00"/>
    <s v="2:42:00 PM"/>
    <s v="Credit card"/>
    <n v="595.14"/>
    <n v="4.7619047620000003"/>
    <n v="29.757000000000001"/>
    <n v="5.5"/>
    <s v="January"/>
  </r>
  <r>
    <x v="81"/>
    <s v="Cairo"/>
    <s v="Mandalay"/>
    <x v="0"/>
    <s v="Female"/>
    <s v="Food and beverages"/>
    <n v="96.68"/>
    <n v="3"/>
    <n v="14.502000000000001"/>
    <x v="80"/>
    <d v="2019-01-26T00:00:00"/>
    <s v="7:56:00 PM"/>
    <s v="Ewallet"/>
    <n v="290.04000000000002"/>
    <n v="4.7619047620000003"/>
    <n v="14.502000000000001"/>
    <n v="6.4"/>
    <s v="January"/>
  </r>
  <r>
    <x v="82"/>
    <s v="Giza"/>
    <s v="Naypyitaw"/>
    <x v="0"/>
    <s v="Female"/>
    <s v="Food and beverages"/>
    <n v="19.25"/>
    <n v="8"/>
    <n v="7.7"/>
    <x v="81"/>
    <d v="2019-01-23T00:00:00"/>
    <s v="6:37:00 PM"/>
    <s v="Ewallet"/>
    <n v="154"/>
    <n v="4.7619047620000003"/>
    <n v="7.7"/>
    <n v="6.6"/>
    <s v="January"/>
  </r>
  <r>
    <x v="83"/>
    <s v="Giza"/>
    <s v="Naypyitaw"/>
    <x v="0"/>
    <s v="Female"/>
    <s v="Food and beverages"/>
    <n v="80.36"/>
    <n v="4"/>
    <n v="16.071999999999999"/>
    <x v="82"/>
    <d v="2019-02-23T00:00:00"/>
    <s v="6:45:00 PM"/>
    <s v="Credit card"/>
    <n v="321.44"/>
    <n v="4.7619047620000003"/>
    <n v="16.071999999999999"/>
    <n v="8.3000000000000007"/>
    <s v="February"/>
  </r>
  <r>
    <x v="84"/>
    <s v="Giza"/>
    <s v="Naypyitaw"/>
    <x v="0"/>
    <s v="Female"/>
    <s v="Sports and travel"/>
    <n v="48.91"/>
    <n v="5"/>
    <n v="12.227499999999999"/>
    <x v="83"/>
    <d v="2019-03-09T00:00:00"/>
    <s v="10:17:00 AM"/>
    <s v="Cash"/>
    <n v="244.55"/>
    <n v="4.7619047620000003"/>
    <n v="12.227499999999999"/>
    <n v="6.6"/>
    <s v="March"/>
  </r>
  <r>
    <x v="85"/>
    <s v="Giza"/>
    <s v="Naypyitaw"/>
    <x v="0"/>
    <s v="Female"/>
    <s v="Sports and travel"/>
    <n v="83.06"/>
    <n v="7"/>
    <n v="29.071000000000002"/>
    <x v="84"/>
    <d v="2019-03-05T00:00:00"/>
    <s v="2:31:00 PM"/>
    <s v="Ewallet"/>
    <n v="581.41999999999996"/>
    <n v="4.7619047620000003"/>
    <n v="29.071000000000002"/>
    <n v="4"/>
    <s v="March"/>
  </r>
  <r>
    <x v="86"/>
    <s v="Giza"/>
    <s v="Naypyitaw"/>
    <x v="0"/>
    <s v="Female"/>
    <s v="Fashion accessories"/>
    <n v="76.52"/>
    <n v="5"/>
    <n v="19.13"/>
    <x v="85"/>
    <d v="2019-03-25T00:00:00"/>
    <s v="10:23:00 AM"/>
    <s v="Cash"/>
    <n v="382.6"/>
    <n v="4.7619047620000003"/>
    <n v="19.13"/>
    <n v="9.9"/>
    <s v="March"/>
  </r>
  <r>
    <x v="87"/>
    <s v="Alex"/>
    <s v="Yangon"/>
    <x v="0"/>
    <s v="Female"/>
    <s v="Food and beverages"/>
    <n v="49.38"/>
    <n v="7"/>
    <n v="17.283000000000001"/>
    <x v="86"/>
    <d v="2019-03-27T00:00:00"/>
    <s v="8:35:00 PM"/>
    <s v="Credit card"/>
    <n v="345.66"/>
    <n v="4.7619047620000003"/>
    <n v="17.283000000000001"/>
    <n v="7.3"/>
    <s v="March"/>
  </r>
  <r>
    <x v="88"/>
    <s v="Alex"/>
    <s v="Yangon"/>
    <x v="0"/>
    <s v="Female"/>
    <s v="Sports and travel"/>
    <n v="42.47"/>
    <n v="1"/>
    <n v="2.1234999999999999"/>
    <x v="87"/>
    <d v="2019-01-02T00:00:00"/>
    <s v="4:57:00 PM"/>
    <s v="Cash"/>
    <n v="42.47"/>
    <n v="4.7619047620000003"/>
    <n v="2.1234999999999999"/>
    <n v="5.7"/>
    <s v="January"/>
  </r>
  <r>
    <x v="89"/>
    <s v="Cairo"/>
    <s v="Mandalay"/>
    <x v="0"/>
    <s v="Female"/>
    <s v="Health and beauty"/>
    <n v="76.989999999999995"/>
    <n v="6"/>
    <n v="23.097000000000001"/>
    <x v="88"/>
    <d v="2019-02-27T00:00:00"/>
    <s v="5:55:00 PM"/>
    <s v="Cash"/>
    <n v="461.94"/>
    <n v="4.7619047620000003"/>
    <n v="23.097000000000001"/>
    <n v="6.1"/>
    <s v="February"/>
  </r>
  <r>
    <x v="90"/>
    <s v="Giza"/>
    <s v="Naypyitaw"/>
    <x v="0"/>
    <s v="Female"/>
    <s v="Home and lifestyle"/>
    <n v="47.38"/>
    <n v="4"/>
    <n v="9.4760000000000009"/>
    <x v="89"/>
    <d v="2019-01-23T00:00:00"/>
    <s v="10:25:00 AM"/>
    <s v="Cash"/>
    <n v="189.52"/>
    <n v="4.7619047620000003"/>
    <n v="9.4760000000000009"/>
    <n v="7.1"/>
    <s v="January"/>
  </r>
  <r>
    <x v="91"/>
    <s v="Giza"/>
    <s v="Naypyitaw"/>
    <x v="0"/>
    <s v="Female"/>
    <s v="Sports and travel"/>
    <n v="44.86"/>
    <n v="10"/>
    <n v="22.43"/>
    <x v="90"/>
    <d v="2019-01-26T00:00:00"/>
    <s v="7:54:00 PM"/>
    <s v="Ewallet"/>
    <n v="448.6"/>
    <n v="4.7619047620000003"/>
    <n v="22.43"/>
    <n v="8.1999999999999993"/>
    <s v="January"/>
  </r>
  <r>
    <x v="92"/>
    <s v="Alex"/>
    <s v="Yangon"/>
    <x v="0"/>
    <s v="Female"/>
    <s v="Sports and travel"/>
    <n v="21.98"/>
    <n v="7"/>
    <n v="7.6929999999999996"/>
    <x v="91"/>
    <d v="2019-01-10T00:00:00"/>
    <s v="4:42:00 PM"/>
    <s v="Ewallet"/>
    <n v="153.86000000000001"/>
    <n v="4.7619047620000003"/>
    <n v="7.6929999999999996"/>
    <n v="5.0999999999999996"/>
    <s v="January"/>
  </r>
  <r>
    <x v="93"/>
    <s v="Cairo"/>
    <s v="Mandalay"/>
    <x v="0"/>
    <s v="Female"/>
    <s v="Health and beauty"/>
    <n v="64.36"/>
    <n v="9"/>
    <n v="28.962"/>
    <x v="92"/>
    <d v="2019-03-12T00:00:00"/>
    <s v="12:09:00 PM"/>
    <s v="Credit card"/>
    <n v="579.24"/>
    <n v="4.7619047620000003"/>
    <n v="28.962"/>
    <n v="8.6"/>
    <s v="March"/>
  </r>
  <r>
    <x v="94"/>
    <s v="Giza"/>
    <s v="Naypyitaw"/>
    <x v="0"/>
    <s v="Female"/>
    <s v="Health and beauty"/>
    <n v="89.75"/>
    <n v="1"/>
    <n v="4.4874999999999998"/>
    <x v="93"/>
    <d v="2019-02-06T00:00:00"/>
    <s v="8:05:00 PM"/>
    <s v="Credit card"/>
    <n v="89.75"/>
    <n v="4.7619047620000003"/>
    <n v="4.4874999999999998"/>
    <n v="6.6"/>
    <s v="February"/>
  </r>
  <r>
    <x v="95"/>
    <s v="Alex"/>
    <s v="Yangon"/>
    <x v="0"/>
    <s v="Female"/>
    <s v="Electronic accessories"/>
    <n v="97.16"/>
    <n v="1"/>
    <n v="4.8579999999999997"/>
    <x v="94"/>
    <d v="2019-03-08T00:00:00"/>
    <s v="8:38:00 PM"/>
    <s v="Ewallet"/>
    <n v="97.16"/>
    <n v="4.7619047620000003"/>
    <n v="4.8579999999999997"/>
    <n v="7.2"/>
    <s v="March"/>
  </r>
  <r>
    <x v="96"/>
    <s v="Cairo"/>
    <s v="Mandalay"/>
    <x v="0"/>
    <s v="Female"/>
    <s v="Health and beauty"/>
    <n v="87.87"/>
    <n v="10"/>
    <n v="43.935000000000002"/>
    <x v="95"/>
    <d v="2019-03-29T00:00:00"/>
    <s v="10:25:00 AM"/>
    <s v="Ewallet"/>
    <n v="878.7"/>
    <n v="4.7619047620000003"/>
    <n v="43.935000000000002"/>
    <n v="5.0999999999999996"/>
    <s v="March"/>
  </r>
  <r>
    <x v="97"/>
    <s v="Giza"/>
    <s v="Naypyitaw"/>
    <x v="0"/>
    <s v="Female"/>
    <s v="Electronic accessories"/>
    <n v="12.45"/>
    <n v="6"/>
    <n v="3.7349999999999999"/>
    <x v="96"/>
    <d v="2019-02-09T00:00:00"/>
    <s v="1:11:00 PM"/>
    <s v="Cash"/>
    <n v="74.7"/>
    <n v="4.7619047620000003"/>
    <n v="3.7349999999999999"/>
    <n v="4.0999999999999996"/>
    <s v="February"/>
  </r>
  <r>
    <x v="98"/>
    <s v="Alex"/>
    <s v="Yangon"/>
    <x v="0"/>
    <s v="Female"/>
    <s v="Food and beverages"/>
    <n v="52.75"/>
    <n v="3"/>
    <n v="7.9124999999999996"/>
    <x v="97"/>
    <d v="2019-03-23T00:00:00"/>
    <s v="10:16:00 AM"/>
    <s v="Ewallet"/>
    <n v="158.25"/>
    <n v="4.7619047620000003"/>
    <n v="7.9124999999999996"/>
    <n v="9.3000000000000007"/>
    <s v="March"/>
  </r>
  <r>
    <x v="99"/>
    <s v="Cairo"/>
    <s v="Mandalay"/>
    <x v="0"/>
    <s v="Female"/>
    <s v="Home and lifestyle"/>
    <n v="82.7"/>
    <n v="6"/>
    <n v="24.81"/>
    <x v="98"/>
    <d v="2019-03-05T00:00:00"/>
    <s v="6:14:00 PM"/>
    <s v="Cash"/>
    <n v="496.2"/>
    <n v="4.7619047620000003"/>
    <n v="24.81"/>
    <n v="7.4"/>
    <s v="March"/>
  </r>
  <r>
    <x v="100"/>
    <s v="Giza"/>
    <s v="Naypyitaw"/>
    <x v="0"/>
    <s v="Female"/>
    <s v="Fashion accessories"/>
    <n v="48.71"/>
    <n v="1"/>
    <n v="2.4355000000000002"/>
    <x v="99"/>
    <d v="2019-03-26T00:00:00"/>
    <s v="7:20:00 PM"/>
    <s v="Cash"/>
    <n v="48.71"/>
    <n v="4.7619047620000003"/>
    <n v="2.4355000000000002"/>
    <n v="4.0999999999999996"/>
    <s v="March"/>
  </r>
  <r>
    <x v="101"/>
    <s v="Giza"/>
    <s v="Naypyitaw"/>
    <x v="0"/>
    <s v="Female"/>
    <s v="Fashion accessories"/>
    <n v="78.55"/>
    <n v="9"/>
    <n v="35.347499999999997"/>
    <x v="100"/>
    <d v="2019-03-01T00:00:00"/>
    <s v="1:22:00 PM"/>
    <s v="Cash"/>
    <n v="706.95"/>
    <n v="4.7619047620000003"/>
    <n v="35.347499999999997"/>
    <n v="7.2"/>
    <s v="March"/>
  </r>
  <r>
    <x v="102"/>
    <s v="Giza"/>
    <s v="Naypyitaw"/>
    <x v="0"/>
    <s v="Female"/>
    <s v="Electronic accessories"/>
    <n v="23.07"/>
    <n v="9"/>
    <n v="10.381500000000001"/>
    <x v="101"/>
    <d v="2019-02-01T00:00:00"/>
    <s v="11:27:00 AM"/>
    <s v="Cash"/>
    <n v="207.63"/>
    <n v="4.7619047620000003"/>
    <n v="10.381500000000001"/>
    <n v="4.9000000000000004"/>
    <s v="February"/>
  </r>
  <r>
    <x v="103"/>
    <s v="Alex"/>
    <s v="Yangon"/>
    <x v="0"/>
    <s v="Female"/>
    <s v="Food and beverages"/>
    <n v="58.26"/>
    <n v="6"/>
    <n v="17.478000000000002"/>
    <x v="102"/>
    <d v="2019-03-28T00:00:00"/>
    <s v="4:44:00 PM"/>
    <s v="Cash"/>
    <n v="349.56"/>
    <n v="4.7619047620000003"/>
    <n v="17.478000000000002"/>
    <n v="9.9"/>
    <s v="March"/>
  </r>
  <r>
    <x v="104"/>
    <s v="Cairo"/>
    <s v="Mandalay"/>
    <x v="0"/>
    <s v="Female"/>
    <s v="Health and beauty"/>
    <n v="30.35"/>
    <n v="7"/>
    <n v="10.6225"/>
    <x v="103"/>
    <d v="2019-03-19T00:00:00"/>
    <s v="6:19:00 PM"/>
    <s v="Cash"/>
    <n v="212.45"/>
    <n v="4.7619047620000003"/>
    <n v="10.6225"/>
    <n v="8"/>
    <s v="March"/>
  </r>
  <r>
    <x v="105"/>
    <s v="Alex"/>
    <s v="Yangon"/>
    <x v="0"/>
    <s v="Female"/>
    <s v="Electronic accessories"/>
    <n v="88.67"/>
    <n v="10"/>
    <n v="44.335000000000001"/>
    <x v="104"/>
    <d v="2019-01-12T00:00:00"/>
    <s v="2:50:00 PM"/>
    <s v="Ewallet"/>
    <n v="886.7"/>
    <n v="4.7619047620000003"/>
    <n v="44.335000000000001"/>
    <n v="7.3"/>
    <s v="January"/>
  </r>
  <r>
    <x v="106"/>
    <s v="Giza"/>
    <s v="Naypyitaw"/>
    <x v="0"/>
    <s v="Female"/>
    <s v="Fashion accessories"/>
    <n v="27.38"/>
    <n v="6"/>
    <n v="8.2140000000000004"/>
    <x v="105"/>
    <d v="2019-01-05T00:00:00"/>
    <s v="8:54:00 PM"/>
    <s v="Credit card"/>
    <n v="164.28"/>
    <n v="4.7619047620000003"/>
    <n v="8.2140000000000004"/>
    <n v="7.9"/>
    <s v="January"/>
  </r>
  <r>
    <x v="107"/>
    <s v="Alex"/>
    <s v="Yangon"/>
    <x v="0"/>
    <s v="Female"/>
    <s v="Sports and travel"/>
    <n v="62.13"/>
    <n v="6"/>
    <n v="18.638999999999999"/>
    <x v="106"/>
    <d v="2019-03-22T00:00:00"/>
    <s v="8:19:00 PM"/>
    <s v="Cash"/>
    <n v="372.78"/>
    <n v="4.7619047620000003"/>
    <n v="18.638999999999999"/>
    <n v="7.4"/>
    <s v="March"/>
  </r>
  <r>
    <x v="108"/>
    <s v="Giza"/>
    <s v="Naypyitaw"/>
    <x v="0"/>
    <s v="Female"/>
    <s v="Food and beverages"/>
    <n v="33.979999999999997"/>
    <n v="9"/>
    <n v="15.291"/>
    <x v="107"/>
    <d v="2019-03-24T00:00:00"/>
    <s v="10:43:00 AM"/>
    <s v="Cash"/>
    <n v="305.82"/>
    <n v="4.7619047620000003"/>
    <n v="15.291"/>
    <n v="4.2"/>
    <s v="March"/>
  </r>
  <r>
    <x v="109"/>
    <s v="Giza"/>
    <s v="Naypyitaw"/>
    <x v="0"/>
    <s v="Female"/>
    <s v="Electronic accessories"/>
    <n v="81.97"/>
    <n v="10"/>
    <n v="40.984999999999999"/>
    <x v="108"/>
    <d v="2019-03-03T00:00:00"/>
    <s v="2:30:00 PM"/>
    <s v="Cash"/>
    <n v="819.7"/>
    <n v="4.7619047620000003"/>
    <n v="40.984999999999999"/>
    <n v="9.1999999999999993"/>
    <s v="March"/>
  </r>
  <r>
    <x v="110"/>
    <s v="Cairo"/>
    <s v="Mandalay"/>
    <x v="0"/>
    <s v="Female"/>
    <s v="Sports and travel"/>
    <n v="16.489999999999998"/>
    <n v="2"/>
    <n v="1.649"/>
    <x v="109"/>
    <d v="2019-02-05T00:00:00"/>
    <s v="11:32:00 AM"/>
    <s v="Ewallet"/>
    <n v="32.979999999999997"/>
    <n v="4.7619047620000003"/>
    <n v="1.649"/>
    <n v="4.5999999999999996"/>
    <s v="February"/>
  </r>
  <r>
    <x v="111"/>
    <s v="Giza"/>
    <s v="Naypyitaw"/>
    <x v="0"/>
    <s v="Female"/>
    <s v="Health and beauty"/>
    <n v="98.21"/>
    <n v="3"/>
    <n v="14.7315"/>
    <x v="110"/>
    <d v="2019-02-05T00:00:00"/>
    <s v="10:41:00 AM"/>
    <s v="Credit card"/>
    <n v="294.63"/>
    <n v="4.7619047620000003"/>
    <n v="14.7315"/>
    <n v="7.8"/>
    <s v="February"/>
  </r>
  <r>
    <x v="112"/>
    <s v="Cairo"/>
    <s v="Mandalay"/>
    <x v="0"/>
    <s v="Female"/>
    <s v="Fashion accessories"/>
    <n v="72.84"/>
    <n v="7"/>
    <n v="25.494"/>
    <x v="111"/>
    <d v="2019-02-15T00:00:00"/>
    <s v="12:44:00 PM"/>
    <s v="Cash"/>
    <n v="509.88"/>
    <n v="4.7619047620000003"/>
    <n v="25.494"/>
    <n v="8.4"/>
    <s v="February"/>
  </r>
  <r>
    <x v="113"/>
    <s v="Alex"/>
    <s v="Yangon"/>
    <x v="0"/>
    <s v="Female"/>
    <s v="Home and lifestyle"/>
    <n v="58.07"/>
    <n v="9"/>
    <n v="26.131499999999999"/>
    <x v="112"/>
    <d v="2019-01-19T00:00:00"/>
    <s v="8:07:00 PM"/>
    <s v="Ewallet"/>
    <n v="522.63"/>
    <n v="4.7619047620000003"/>
    <n v="26.131499999999999"/>
    <n v="4.3"/>
    <s v="January"/>
  </r>
  <r>
    <x v="114"/>
    <s v="Giza"/>
    <s v="Naypyitaw"/>
    <x v="0"/>
    <s v="Female"/>
    <s v="Home and lifestyle"/>
    <n v="80.790000000000006"/>
    <n v="9"/>
    <n v="36.355499999999999"/>
    <x v="113"/>
    <d v="2019-02-01T00:00:00"/>
    <s v="8:31:00 PM"/>
    <s v="Credit card"/>
    <n v="727.11"/>
    <n v="4.7619047620000003"/>
    <n v="36.355499999999999"/>
    <n v="9.5"/>
    <s v="February"/>
  </r>
  <r>
    <x v="115"/>
    <s v="Giza"/>
    <s v="Naypyitaw"/>
    <x v="0"/>
    <s v="Female"/>
    <s v="Fashion accessories"/>
    <n v="27.02"/>
    <n v="3"/>
    <n v="4.0529999999999999"/>
    <x v="114"/>
    <d v="2019-03-02T00:00:00"/>
    <s v="1:01:00 PM"/>
    <s v="Credit card"/>
    <n v="81.06"/>
    <n v="4.7619047620000003"/>
    <n v="4.0529999999999999"/>
    <n v="7.1"/>
    <s v="March"/>
  </r>
  <r>
    <x v="116"/>
    <s v="Cairo"/>
    <s v="Mandalay"/>
    <x v="0"/>
    <s v="Female"/>
    <s v="Fashion accessories"/>
    <n v="21.94"/>
    <n v="5"/>
    <n v="5.4850000000000003"/>
    <x v="115"/>
    <d v="2019-03-05T00:00:00"/>
    <s v="12:29:00 PM"/>
    <s v="Ewallet"/>
    <n v="109.7"/>
    <n v="4.7619047620000003"/>
    <n v="5.4850000000000003"/>
    <n v="5.3"/>
    <s v="March"/>
  </r>
  <r>
    <x v="117"/>
    <s v="Cairo"/>
    <s v="Mandalay"/>
    <x v="0"/>
    <s v="Female"/>
    <s v="Fashion accessories"/>
    <n v="51.36"/>
    <n v="1"/>
    <n v="2.5680000000000001"/>
    <x v="116"/>
    <d v="2019-01-16T00:00:00"/>
    <s v="3:26:00 PM"/>
    <s v="Ewallet"/>
    <n v="51.36"/>
    <n v="4.7619047620000003"/>
    <n v="2.5680000000000001"/>
    <n v="5.2"/>
    <s v="January"/>
  </r>
  <r>
    <x v="118"/>
    <s v="Alex"/>
    <s v="Yangon"/>
    <x v="0"/>
    <s v="Female"/>
    <s v="Food and beverages"/>
    <n v="10.96"/>
    <n v="10"/>
    <n v="5.48"/>
    <x v="117"/>
    <d v="2019-02-02T00:00:00"/>
    <s v="8:48:00 PM"/>
    <s v="Ewallet"/>
    <n v="109.6"/>
    <n v="4.7619047620000003"/>
    <n v="5.48"/>
    <n v="6"/>
    <s v="February"/>
  </r>
  <r>
    <x v="119"/>
    <s v="Cairo"/>
    <s v="Mandalay"/>
    <x v="0"/>
    <s v="Female"/>
    <s v="Home and lifestyle"/>
    <n v="53.44"/>
    <n v="2"/>
    <n v="5.3440000000000003"/>
    <x v="118"/>
    <d v="2019-01-20T00:00:00"/>
    <s v="8:38:00 PM"/>
    <s v="Ewallet"/>
    <n v="106.88"/>
    <n v="4.7619047620000003"/>
    <n v="5.3440000000000003"/>
    <n v="4.0999999999999996"/>
    <s v="January"/>
  </r>
  <r>
    <x v="120"/>
    <s v="Alex"/>
    <s v="Yangon"/>
    <x v="0"/>
    <s v="Female"/>
    <s v="Electronic accessories"/>
    <n v="99.56"/>
    <n v="8"/>
    <n v="39.823999999999998"/>
    <x v="119"/>
    <d v="2019-02-14T00:00:00"/>
    <s v="5:03:00 PM"/>
    <s v="Credit card"/>
    <n v="796.48"/>
    <n v="4.7619047620000003"/>
    <n v="39.823999999999998"/>
    <n v="5.2"/>
    <s v="February"/>
  </r>
  <r>
    <x v="121"/>
    <s v="Giza"/>
    <s v="Naypyitaw"/>
    <x v="0"/>
    <s v="Female"/>
    <s v="Sports and travel"/>
    <n v="57.12"/>
    <n v="7"/>
    <n v="19.992000000000001"/>
    <x v="120"/>
    <d v="2019-01-12T00:00:00"/>
    <s v="12:02:00 PM"/>
    <s v="Credit card"/>
    <n v="399.84"/>
    <n v="4.7619047620000003"/>
    <n v="19.992000000000001"/>
    <n v="6.5"/>
    <s v="January"/>
  </r>
  <r>
    <x v="122"/>
    <s v="Cairo"/>
    <s v="Mandalay"/>
    <x v="0"/>
    <s v="Female"/>
    <s v="Sports and travel"/>
    <n v="99.96"/>
    <n v="9"/>
    <n v="44.981999999999999"/>
    <x v="121"/>
    <d v="2019-03-09T00:00:00"/>
    <s v="5:26:00 PM"/>
    <s v="Credit card"/>
    <n v="899.64"/>
    <n v="4.7619047620000003"/>
    <n v="44.981999999999999"/>
    <n v="4.2"/>
    <s v="March"/>
  </r>
  <r>
    <x v="123"/>
    <s v="Giza"/>
    <s v="Naypyitaw"/>
    <x v="0"/>
    <s v="Female"/>
    <s v="Home and lifestyle"/>
    <n v="63.91"/>
    <n v="8"/>
    <n v="25.564"/>
    <x v="122"/>
    <d v="2019-03-13T00:00:00"/>
    <s v="7:52:00 PM"/>
    <s v="Credit card"/>
    <n v="511.28"/>
    <n v="4.7619047620000003"/>
    <n v="25.564"/>
    <n v="4.5999999999999996"/>
    <s v="March"/>
  </r>
  <r>
    <x v="124"/>
    <s v="Cairo"/>
    <s v="Mandalay"/>
    <x v="0"/>
    <s v="Female"/>
    <s v="Fashion accessories"/>
    <n v="56.47"/>
    <n v="8"/>
    <n v="22.588000000000001"/>
    <x v="123"/>
    <d v="2019-03-09T00:00:00"/>
    <s v="2:57:00 PM"/>
    <s v="Ewallet"/>
    <n v="451.76"/>
    <n v="4.7619047620000003"/>
    <n v="22.588000000000001"/>
    <n v="7.3"/>
    <s v="March"/>
  </r>
  <r>
    <x v="125"/>
    <s v="Alex"/>
    <s v="Yangon"/>
    <x v="0"/>
    <s v="Female"/>
    <s v="Home and lifestyle"/>
    <n v="93.69"/>
    <n v="7"/>
    <n v="32.791499999999999"/>
    <x v="124"/>
    <d v="2019-03-10T00:00:00"/>
    <s v="6:44:00 PM"/>
    <s v="Credit card"/>
    <n v="655.83"/>
    <n v="4.7619047620000003"/>
    <n v="32.791499999999999"/>
    <n v="4.5"/>
    <s v="March"/>
  </r>
  <r>
    <x v="126"/>
    <s v="Alex"/>
    <s v="Yangon"/>
    <x v="0"/>
    <s v="Female"/>
    <s v="Sports and travel"/>
    <n v="32.25"/>
    <n v="5"/>
    <n v="8.0625"/>
    <x v="125"/>
    <d v="2019-01-27T00:00:00"/>
    <s v="1:26:00 PM"/>
    <s v="Cash"/>
    <n v="161.25"/>
    <n v="4.7619047620000003"/>
    <n v="8.0625"/>
    <n v="9"/>
    <s v="January"/>
  </r>
  <r>
    <x v="127"/>
    <s v="Giza"/>
    <s v="Naypyitaw"/>
    <x v="0"/>
    <s v="Female"/>
    <s v="Fashion accessories"/>
    <n v="31.73"/>
    <n v="9"/>
    <n v="14.278499999999999"/>
    <x v="126"/>
    <d v="2019-01-08T00:00:00"/>
    <s v="4:17:00 PM"/>
    <s v="Credit card"/>
    <n v="285.57"/>
    <n v="4.7619047620000003"/>
    <n v="14.278499999999999"/>
    <n v="5.9"/>
    <s v="January"/>
  </r>
  <r>
    <x v="128"/>
    <s v="Giza"/>
    <s v="Naypyitaw"/>
    <x v="0"/>
    <s v="Female"/>
    <s v="Food and beverages"/>
    <n v="68.540000000000006"/>
    <n v="8"/>
    <n v="27.416"/>
    <x v="127"/>
    <d v="2019-01-08T00:00:00"/>
    <s v="3:57:00 PM"/>
    <s v="Ewallet"/>
    <n v="548.32000000000005"/>
    <n v="4.7619047620000003"/>
    <n v="27.416"/>
    <n v="8.5"/>
    <s v="January"/>
  </r>
  <r>
    <x v="129"/>
    <s v="Cairo"/>
    <s v="Mandalay"/>
    <x v="0"/>
    <s v="Female"/>
    <s v="Sports and travel"/>
    <n v="90.28"/>
    <n v="9"/>
    <n v="40.625999999999998"/>
    <x v="128"/>
    <d v="2019-02-08T00:00:00"/>
    <s v="11:15:00 AM"/>
    <s v="Ewallet"/>
    <n v="812.52"/>
    <n v="4.7619047620000003"/>
    <n v="40.625999999999998"/>
    <n v="7.2"/>
    <s v="February"/>
  </r>
  <r>
    <x v="130"/>
    <s v="Cairo"/>
    <s v="Mandalay"/>
    <x v="1"/>
    <s v="Female"/>
    <s v="Fashion accessories"/>
    <n v="39.619999999999997"/>
    <n v="7"/>
    <n v="13.867000000000001"/>
    <x v="129"/>
    <d v="2019-01-25T00:00:00"/>
    <s v="1:18:00 PM"/>
    <s v="Cash"/>
    <n v="277.33999999999997"/>
    <n v="4.7619047620000003"/>
    <n v="13.867000000000001"/>
    <n v="7.5"/>
    <s v="January"/>
  </r>
  <r>
    <x v="131"/>
    <s v="Alex"/>
    <s v="Yangon"/>
    <x v="0"/>
    <s v="Female"/>
    <s v="Sports and travel"/>
    <n v="92.13"/>
    <n v="6"/>
    <n v="27.638999999999999"/>
    <x v="130"/>
    <d v="2019-03-06T00:00:00"/>
    <s v="8:34:00 PM"/>
    <s v="Cash"/>
    <n v="552.78"/>
    <n v="4.7619047620000003"/>
    <n v="27.638999999999999"/>
    <n v="8.3000000000000007"/>
    <s v="March"/>
  </r>
  <r>
    <x v="132"/>
    <s v="Cairo"/>
    <s v="Mandalay"/>
    <x v="1"/>
    <s v="Female"/>
    <s v="Sports and travel"/>
    <n v="34.840000000000003"/>
    <n v="4"/>
    <n v="6.968"/>
    <x v="131"/>
    <d v="2019-02-10T00:00:00"/>
    <s v="6:36:00 PM"/>
    <s v="Cash"/>
    <n v="139.36000000000001"/>
    <n v="4.7619047620000003"/>
    <n v="6.968"/>
    <n v="7.4"/>
    <s v="February"/>
  </r>
  <r>
    <x v="133"/>
    <s v="Cairo"/>
    <s v="Mandalay"/>
    <x v="0"/>
    <s v="Female"/>
    <s v="Electronic accessories"/>
    <n v="87.45"/>
    <n v="6"/>
    <n v="26.234999999999999"/>
    <x v="132"/>
    <d v="2019-02-17T00:00:00"/>
    <s v="2:40:00 PM"/>
    <s v="Credit card"/>
    <n v="524.70000000000005"/>
    <n v="4.7619047620000003"/>
    <n v="26.234999999999999"/>
    <n v="8.8000000000000007"/>
    <s v="February"/>
  </r>
  <r>
    <x v="134"/>
    <s v="Giza"/>
    <s v="Naypyitaw"/>
    <x v="1"/>
    <s v="Female"/>
    <s v="Health and beauty"/>
    <n v="81.3"/>
    <n v="6"/>
    <n v="24.39"/>
    <x v="133"/>
    <d v="2019-03-08T00:00:00"/>
    <s v="4:43:00 PM"/>
    <s v="Ewallet"/>
    <n v="487.8"/>
    <n v="4.7619047620000003"/>
    <n v="24.39"/>
    <n v="5.3"/>
    <s v="March"/>
  </r>
  <r>
    <x v="135"/>
    <s v="Giza"/>
    <s v="Naypyitaw"/>
    <x v="1"/>
    <s v="Female"/>
    <s v="Fashion accessories"/>
    <n v="90.22"/>
    <n v="3"/>
    <n v="13.532999999999999"/>
    <x v="134"/>
    <d v="2019-02-18T00:00:00"/>
    <s v="7:39:00 PM"/>
    <s v="Cash"/>
    <n v="270.66000000000003"/>
    <n v="4.7619047620000003"/>
    <n v="13.532999999999999"/>
    <n v="6.2"/>
    <s v="February"/>
  </r>
  <r>
    <x v="136"/>
    <s v="Alex"/>
    <s v="Yangon"/>
    <x v="1"/>
    <s v="Female"/>
    <s v="Electronic accessories"/>
    <n v="26.31"/>
    <n v="5"/>
    <n v="6.5774999999999997"/>
    <x v="135"/>
    <d v="2019-01-18T00:00:00"/>
    <s v="8:59:00 PM"/>
    <s v="Credit card"/>
    <n v="131.55000000000001"/>
    <n v="4.7619047620000003"/>
    <n v="6.5774999999999997"/>
    <n v="8.8000000000000007"/>
    <s v="January"/>
  </r>
  <r>
    <x v="137"/>
    <s v="Alex"/>
    <s v="Yangon"/>
    <x v="0"/>
    <s v="Female"/>
    <s v="Home and lifestyle"/>
    <n v="34.42"/>
    <n v="6"/>
    <n v="10.326000000000001"/>
    <x v="136"/>
    <d v="2019-02-18T00:00:00"/>
    <s v="3:39:00 PM"/>
    <s v="Cash"/>
    <n v="206.52"/>
    <n v="4.7619047620000003"/>
    <n v="10.326000000000001"/>
    <n v="9.8000000000000007"/>
    <s v="February"/>
  </r>
  <r>
    <x v="138"/>
    <s v="Cairo"/>
    <s v="Mandalay"/>
    <x v="1"/>
    <s v="Female"/>
    <s v="Sports and travel"/>
    <n v="51.91"/>
    <n v="10"/>
    <n v="25.954999999999998"/>
    <x v="137"/>
    <d v="2019-02-16T00:00:00"/>
    <s v="12:21:00 PM"/>
    <s v="Cash"/>
    <n v="519.1"/>
    <n v="4.7619047620000003"/>
    <n v="25.954999999999998"/>
    <n v="8.1999999999999993"/>
    <s v="February"/>
  </r>
  <r>
    <x v="139"/>
    <s v="Alex"/>
    <s v="Yangon"/>
    <x v="1"/>
    <s v="Female"/>
    <s v="Sports and travel"/>
    <n v="72.5"/>
    <n v="8"/>
    <n v="29"/>
    <x v="138"/>
    <d v="2019-03-16T00:00:00"/>
    <s v="7:25:00 PM"/>
    <s v="Ewallet"/>
    <n v="580"/>
    <n v="4.7619047620000003"/>
    <n v="29"/>
    <n v="9.1999999999999993"/>
    <s v="March"/>
  </r>
  <r>
    <x v="140"/>
    <s v="Giza"/>
    <s v="Naypyitaw"/>
    <x v="0"/>
    <s v="Female"/>
    <s v="Sports and travel"/>
    <n v="89.8"/>
    <n v="10"/>
    <n v="44.9"/>
    <x v="139"/>
    <d v="2019-01-23T00:00:00"/>
    <s v="1:00:00 PM"/>
    <s v="Credit card"/>
    <n v="898"/>
    <n v="4.7619047620000003"/>
    <n v="44.9"/>
    <n v="5.4"/>
    <s v="January"/>
  </r>
  <r>
    <x v="141"/>
    <s v="Giza"/>
    <s v="Naypyitaw"/>
    <x v="0"/>
    <s v="Male"/>
    <s v="Health and beauty"/>
    <n v="90.5"/>
    <n v="10"/>
    <n v="45.25"/>
    <x v="140"/>
    <d v="2019-01-25T00:00:00"/>
    <s v="1:48:00 PM"/>
    <s v="Cash"/>
    <n v="905"/>
    <n v="4.7619047620000003"/>
    <n v="45.25"/>
    <n v="8.1"/>
    <s v="January"/>
  </r>
  <r>
    <x v="142"/>
    <s v="Giza"/>
    <s v="Naypyitaw"/>
    <x v="0"/>
    <s v="Female"/>
    <s v="Health and beauty"/>
    <n v="68.599999999999994"/>
    <n v="10"/>
    <n v="34.299999999999997"/>
    <x v="141"/>
    <d v="2019-02-05T00:00:00"/>
    <s v="7:57:00 PM"/>
    <s v="Cash"/>
    <n v="686"/>
    <n v="4.7619047620000003"/>
    <n v="34.299999999999997"/>
    <n v="9.1"/>
    <s v="February"/>
  </r>
  <r>
    <x v="143"/>
    <s v="Giza"/>
    <s v="Naypyitaw"/>
    <x v="0"/>
    <s v="Female"/>
    <s v="Food and beverages"/>
    <n v="30.41"/>
    <n v="1"/>
    <n v="1.5205"/>
    <x v="142"/>
    <d v="2019-02-22T00:00:00"/>
    <s v="10:36:00 AM"/>
    <s v="Credit card"/>
    <n v="30.41"/>
    <n v="4.7619047620000003"/>
    <n v="1.5205"/>
    <n v="8.4"/>
    <s v="February"/>
  </r>
  <r>
    <x v="144"/>
    <s v="Alex"/>
    <s v="Yangon"/>
    <x v="1"/>
    <s v="Female"/>
    <s v="Home and lifestyle"/>
    <n v="77.95"/>
    <n v="6"/>
    <n v="23.385000000000002"/>
    <x v="143"/>
    <d v="2019-01-21T00:00:00"/>
    <s v="4:37:00 PM"/>
    <s v="Ewallet"/>
    <n v="467.7"/>
    <n v="4.7619047620000003"/>
    <n v="23.385000000000002"/>
    <n v="8"/>
    <s v="January"/>
  </r>
  <r>
    <x v="145"/>
    <s v="Giza"/>
    <s v="Naypyitaw"/>
    <x v="1"/>
    <s v="Female"/>
    <s v="Health and beauty"/>
    <n v="46.26"/>
    <n v="6"/>
    <n v="13.878"/>
    <x v="144"/>
    <d v="2019-03-08T00:00:00"/>
    <s v="5:11:00 PM"/>
    <s v="Credit card"/>
    <n v="277.56"/>
    <n v="4.7619047620000003"/>
    <n v="13.878"/>
    <n v="9.5"/>
    <s v="March"/>
  </r>
  <r>
    <x v="146"/>
    <s v="Alex"/>
    <s v="Yangon"/>
    <x v="0"/>
    <s v="Female"/>
    <s v="Fashion accessories"/>
    <n v="30.14"/>
    <n v="10"/>
    <n v="15.07"/>
    <x v="145"/>
    <d v="2019-02-10T00:00:00"/>
    <s v="12:28:00 PM"/>
    <s v="Ewallet"/>
    <n v="301.39999999999998"/>
    <n v="4.7619047620000003"/>
    <n v="15.07"/>
    <n v="9.1999999999999993"/>
    <s v="February"/>
  </r>
  <r>
    <x v="147"/>
    <s v="Giza"/>
    <s v="Naypyitaw"/>
    <x v="1"/>
    <s v="Male"/>
    <s v="Health and beauty"/>
    <n v="66.14"/>
    <n v="4"/>
    <n v="13.228"/>
    <x v="146"/>
    <d v="2019-03-19T00:00:00"/>
    <s v="12:46:00 PM"/>
    <s v="Credit card"/>
    <n v="264.56"/>
    <n v="4.7619047620000003"/>
    <n v="13.228"/>
    <n v="5.6"/>
    <s v="March"/>
  </r>
  <r>
    <x v="148"/>
    <s v="Cairo"/>
    <s v="Mandalay"/>
    <x v="0"/>
    <s v="Male"/>
    <s v="Home and lifestyle"/>
    <n v="71.86"/>
    <n v="8"/>
    <n v="28.744"/>
    <x v="147"/>
    <d v="2019-03-06T00:00:00"/>
    <s v="3:07:00 PM"/>
    <s v="Credit card"/>
    <n v="574.88"/>
    <n v="4.7619047620000003"/>
    <n v="28.744"/>
    <n v="6.2"/>
    <s v="March"/>
  </r>
  <r>
    <x v="149"/>
    <s v="Alex"/>
    <s v="Yangon"/>
    <x v="1"/>
    <s v="Male"/>
    <s v="Health and beauty"/>
    <n v="32.46"/>
    <n v="8"/>
    <n v="12.984"/>
    <x v="148"/>
    <d v="2019-03-27T00:00:00"/>
    <s v="1:48:00 PM"/>
    <s v="Credit card"/>
    <n v="259.68"/>
    <n v="4.7619047620000003"/>
    <n v="12.984"/>
    <n v="4.9000000000000004"/>
    <s v="March"/>
  </r>
  <r>
    <x v="150"/>
    <s v="Cairo"/>
    <s v="Mandalay"/>
    <x v="0"/>
    <s v="Female"/>
    <s v="Fashion accessories"/>
    <n v="91.54"/>
    <n v="4"/>
    <n v="18.308"/>
    <x v="149"/>
    <d v="2019-03-23T00:00:00"/>
    <s v="7:20:00 PM"/>
    <s v="Credit card"/>
    <n v="366.16"/>
    <n v="4.7619047620000003"/>
    <n v="18.308"/>
    <n v="4.8"/>
    <s v="March"/>
  </r>
  <r>
    <x v="151"/>
    <s v="Giza"/>
    <s v="Naypyitaw"/>
    <x v="0"/>
    <s v="Male"/>
    <s v="Sports and travel"/>
    <n v="34.56"/>
    <n v="7"/>
    <n v="12.096"/>
    <x v="150"/>
    <d v="2019-03-11T00:00:00"/>
    <s v="4:07:00 PM"/>
    <s v="Credit card"/>
    <n v="241.92"/>
    <n v="4.7619047620000003"/>
    <n v="12.096"/>
    <n v="7.3"/>
    <s v="March"/>
  </r>
  <r>
    <x v="152"/>
    <s v="Alex"/>
    <s v="Yangon"/>
    <x v="1"/>
    <s v="Male"/>
    <s v="Fashion accessories"/>
    <n v="83.24"/>
    <n v="9"/>
    <n v="37.457999999999998"/>
    <x v="151"/>
    <d v="2019-01-29T00:00:00"/>
    <s v="11:56:00 AM"/>
    <s v="Credit card"/>
    <n v="749.16"/>
    <n v="4.7619047620000003"/>
    <n v="37.457999999999998"/>
    <n v="7.4"/>
    <s v="January"/>
  </r>
  <r>
    <x v="153"/>
    <s v="Giza"/>
    <s v="Naypyitaw"/>
    <x v="1"/>
    <s v="Female"/>
    <s v="Food and beverages"/>
    <n v="16.48"/>
    <n v="6"/>
    <n v="4.944"/>
    <x v="152"/>
    <d v="2019-02-07T00:00:00"/>
    <s v="6:23:00 PM"/>
    <s v="Ewallet"/>
    <n v="98.88"/>
    <n v="4.7619047620000003"/>
    <n v="4.944"/>
    <n v="9.9"/>
    <s v="February"/>
  </r>
  <r>
    <x v="154"/>
    <s v="Giza"/>
    <s v="Naypyitaw"/>
    <x v="1"/>
    <s v="Female"/>
    <s v="Sports and travel"/>
    <n v="80.97"/>
    <n v="8"/>
    <n v="32.387999999999998"/>
    <x v="153"/>
    <d v="2019-01-28T00:00:00"/>
    <s v="1:05:00 PM"/>
    <s v="Cash"/>
    <n v="647.76"/>
    <n v="4.7619047620000003"/>
    <n v="32.387999999999998"/>
    <n v="9.3000000000000007"/>
    <s v="January"/>
  </r>
  <r>
    <x v="155"/>
    <s v="Alex"/>
    <s v="Yangon"/>
    <x v="0"/>
    <s v="Male"/>
    <s v="Food and beverages"/>
    <n v="92.29"/>
    <n v="5"/>
    <n v="23.072500000000002"/>
    <x v="154"/>
    <d v="2019-02-20T00:00:00"/>
    <s v="3:55:00 PM"/>
    <s v="Credit card"/>
    <n v="461.45"/>
    <n v="4.7619047620000003"/>
    <n v="23.072500000000002"/>
    <n v="9"/>
    <s v="February"/>
  </r>
  <r>
    <x v="156"/>
    <s v="Cairo"/>
    <s v="Mandalay"/>
    <x v="0"/>
    <s v="Male"/>
    <s v="Electronic accessories"/>
    <n v="72.17"/>
    <n v="1"/>
    <n v="3.6084999999999998"/>
    <x v="155"/>
    <d v="2019-01-04T00:00:00"/>
    <s v="7:40:00 PM"/>
    <s v="Cash"/>
    <n v="72.17"/>
    <n v="4.7619047620000003"/>
    <n v="3.6084999999999998"/>
    <n v="6.1"/>
    <s v="January"/>
  </r>
  <r>
    <x v="157"/>
    <s v="Cairo"/>
    <s v="Mandalay"/>
    <x v="1"/>
    <s v="Male"/>
    <s v="Home and lifestyle"/>
    <n v="50.28"/>
    <n v="5"/>
    <n v="12.57"/>
    <x v="156"/>
    <d v="2019-03-07T00:00:00"/>
    <s v="1:58:00 PM"/>
    <s v="Ewallet"/>
    <n v="251.4"/>
    <n v="4.7619047620000003"/>
    <n v="12.57"/>
    <n v="9.6999999999999993"/>
    <s v="March"/>
  </r>
  <r>
    <x v="158"/>
    <s v="Cairo"/>
    <s v="Mandalay"/>
    <x v="0"/>
    <s v="Male"/>
    <s v="Health and beauty"/>
    <n v="97.22"/>
    <n v="9"/>
    <n v="43.749000000000002"/>
    <x v="157"/>
    <d v="2019-03-30T00:00:00"/>
    <s v="2:43:00 PM"/>
    <s v="Ewallet"/>
    <n v="874.98"/>
    <n v="4.7619047620000003"/>
    <n v="43.749000000000002"/>
    <n v="6"/>
    <s v="March"/>
  </r>
  <r>
    <x v="159"/>
    <s v="Cairo"/>
    <s v="Mandalay"/>
    <x v="1"/>
    <s v="Male"/>
    <s v="Sports and travel"/>
    <n v="93.39"/>
    <n v="6"/>
    <n v="28.016999999999999"/>
    <x v="158"/>
    <d v="2019-03-27T00:00:00"/>
    <s v="7:18:00 PM"/>
    <s v="Ewallet"/>
    <n v="560.34"/>
    <n v="4.7619047620000003"/>
    <n v="28.016999999999999"/>
    <n v="10"/>
    <s v="March"/>
  </r>
  <r>
    <x v="160"/>
    <s v="Giza"/>
    <s v="Naypyitaw"/>
    <x v="1"/>
    <s v="Female"/>
    <s v="Food and beverages"/>
    <n v="43.18"/>
    <n v="8"/>
    <n v="17.271999999999998"/>
    <x v="159"/>
    <d v="2019-01-19T00:00:00"/>
    <s v="7:39:00 PM"/>
    <s v="Credit card"/>
    <n v="345.44"/>
    <n v="4.7619047620000003"/>
    <n v="17.271999999999998"/>
    <n v="8.3000000000000007"/>
    <s v="January"/>
  </r>
  <r>
    <x v="161"/>
    <s v="Alex"/>
    <s v="Yangon"/>
    <x v="1"/>
    <s v="Male"/>
    <s v="Sports and travel"/>
    <n v="63.69"/>
    <n v="1"/>
    <n v="3.1844999999999999"/>
    <x v="160"/>
    <d v="2019-02-25T00:00:00"/>
    <s v="4:21:00 PM"/>
    <s v="Cash"/>
    <n v="63.69"/>
    <n v="4.7619047620000003"/>
    <n v="3.1844999999999999"/>
    <n v="6"/>
    <s v="February"/>
  </r>
  <r>
    <x v="162"/>
    <s v="Alex"/>
    <s v="Yangon"/>
    <x v="1"/>
    <s v="Male"/>
    <s v="Food and beverages"/>
    <n v="45.79"/>
    <n v="7"/>
    <n v="16.026499999999999"/>
    <x v="161"/>
    <d v="2019-03-13T00:00:00"/>
    <s v="7:44:00 PM"/>
    <s v="Credit card"/>
    <n v="320.52999999999997"/>
    <n v="4.7619047620000003"/>
    <n v="16.026499999999999"/>
    <n v="7"/>
    <s v="March"/>
  </r>
  <r>
    <x v="163"/>
    <s v="Giza"/>
    <s v="Naypyitaw"/>
    <x v="1"/>
    <s v="Male"/>
    <s v="Sports and travel"/>
    <n v="76.400000000000006"/>
    <n v="2"/>
    <n v="7.64"/>
    <x v="162"/>
    <d v="2019-01-30T00:00:00"/>
    <s v="7:42:00 PM"/>
    <s v="Ewallet"/>
    <n v="152.80000000000001"/>
    <n v="4.7619047620000003"/>
    <n v="7.64"/>
    <n v="6.5"/>
    <s v="January"/>
  </r>
  <r>
    <x v="164"/>
    <s v="Cairo"/>
    <s v="Mandalay"/>
    <x v="1"/>
    <s v="Male"/>
    <s v="Food and beverages"/>
    <n v="39.9"/>
    <n v="10"/>
    <n v="19.95"/>
    <x v="163"/>
    <d v="2019-02-20T00:00:00"/>
    <s v="3:24:00 PM"/>
    <s v="Credit card"/>
    <n v="399"/>
    <n v="4.7619047620000003"/>
    <n v="19.95"/>
    <n v="5.9"/>
    <s v="February"/>
  </r>
  <r>
    <x v="165"/>
    <s v="Cairo"/>
    <s v="Mandalay"/>
    <x v="0"/>
    <s v="Male"/>
    <s v="Health and beauty"/>
    <n v="42.57"/>
    <n v="8"/>
    <n v="17.027999999999999"/>
    <x v="164"/>
    <d v="2019-02-25T00:00:00"/>
    <s v="2:12:00 PM"/>
    <s v="Ewallet"/>
    <n v="340.56"/>
    <n v="4.7619047620000003"/>
    <n v="17.027999999999999"/>
    <n v="5.6"/>
    <s v="February"/>
  </r>
  <r>
    <x v="166"/>
    <s v="Giza"/>
    <s v="Naypyitaw"/>
    <x v="1"/>
    <s v="Male"/>
    <s v="Home and lifestyle"/>
    <n v="95.58"/>
    <n v="10"/>
    <n v="47.79"/>
    <x v="165"/>
    <d v="2019-01-16T00:00:00"/>
    <s v="1:32:00 PM"/>
    <s v="Cash"/>
    <n v="955.8"/>
    <n v="4.7619047620000003"/>
    <n v="47.79"/>
    <n v="4.8"/>
    <s v="January"/>
  </r>
  <r>
    <x v="167"/>
    <s v="Alex"/>
    <s v="Yangon"/>
    <x v="1"/>
    <s v="Male"/>
    <s v="Fashion accessories"/>
    <n v="98.98"/>
    <n v="10"/>
    <n v="49.49"/>
    <x v="166"/>
    <d v="2019-02-08T00:00:00"/>
    <s v="4:20:00 PM"/>
    <s v="Credit card"/>
    <n v="989.8"/>
    <n v="4.7619047620000003"/>
    <n v="49.49"/>
    <n v="8.6999999999999993"/>
    <s v="February"/>
  </r>
  <r>
    <x v="168"/>
    <s v="Alex"/>
    <s v="Yangon"/>
    <x v="1"/>
    <s v="Male"/>
    <s v="Food and beverages"/>
    <n v="51.28"/>
    <n v="6"/>
    <n v="15.384"/>
    <x v="167"/>
    <d v="2019-01-19T00:00:00"/>
    <s v="4:31:00 PM"/>
    <s v="Cash"/>
    <n v="307.68"/>
    <n v="4.7619047620000003"/>
    <n v="15.384"/>
    <n v="6.5"/>
    <s v="January"/>
  </r>
  <r>
    <x v="169"/>
    <s v="Alex"/>
    <s v="Yangon"/>
    <x v="0"/>
    <s v="Male"/>
    <s v="Sports and travel"/>
    <n v="69.52"/>
    <n v="7"/>
    <n v="24.332000000000001"/>
    <x v="168"/>
    <d v="2019-02-01T00:00:00"/>
    <s v="3:10:00 PM"/>
    <s v="Credit card"/>
    <n v="486.64"/>
    <n v="4.7619047620000003"/>
    <n v="24.332000000000001"/>
    <n v="8.5"/>
    <s v="February"/>
  </r>
  <r>
    <x v="170"/>
    <s v="Alex"/>
    <s v="Yangon"/>
    <x v="1"/>
    <s v="Male"/>
    <s v="Health and beauty"/>
    <n v="70.010000000000005"/>
    <n v="5"/>
    <n v="17.502500000000001"/>
    <x v="169"/>
    <d v="2019-01-03T00:00:00"/>
    <s v="11:36:00 AM"/>
    <s v="Ewallet"/>
    <n v="350.05"/>
    <n v="4.7619047620000003"/>
    <n v="17.502500000000001"/>
    <n v="5.5"/>
    <s v="January"/>
  </r>
  <r>
    <x v="171"/>
    <s v="Cairo"/>
    <s v="Mandalay"/>
    <x v="0"/>
    <s v="Male"/>
    <s v="Food and beverages"/>
    <n v="80.05"/>
    <n v="5"/>
    <n v="20.012499999999999"/>
    <x v="170"/>
    <d v="2019-01-26T00:00:00"/>
    <s v="12:45:00 PM"/>
    <s v="Credit card"/>
    <n v="400.25"/>
    <n v="4.7619047620000003"/>
    <n v="20.012499999999999"/>
    <n v="9.4"/>
    <s v="January"/>
  </r>
  <r>
    <x v="172"/>
    <s v="Giza"/>
    <s v="Naypyitaw"/>
    <x v="1"/>
    <s v="Male"/>
    <s v="Electronic accessories"/>
    <n v="20.85"/>
    <n v="8"/>
    <n v="8.34"/>
    <x v="171"/>
    <d v="2019-03-03T00:00:00"/>
    <s v="7:17:00 PM"/>
    <s v="Cash"/>
    <n v="166.8"/>
    <n v="4.7619047620000003"/>
    <n v="8.34"/>
    <n v="6.3"/>
    <s v="March"/>
  </r>
  <r>
    <x v="173"/>
    <s v="Cairo"/>
    <s v="Mandalay"/>
    <x v="0"/>
    <s v="Male"/>
    <s v="Electronic accessories"/>
    <n v="52.89"/>
    <n v="6"/>
    <n v="15.867000000000001"/>
    <x v="172"/>
    <d v="2019-01-19T00:00:00"/>
    <s v="5:34:00 PM"/>
    <s v="Credit card"/>
    <n v="317.33999999999997"/>
    <n v="4.7619047620000003"/>
    <n v="15.867000000000001"/>
    <n v="9.8000000000000007"/>
    <s v="January"/>
  </r>
  <r>
    <x v="174"/>
    <s v="Cairo"/>
    <s v="Mandalay"/>
    <x v="1"/>
    <s v="Male"/>
    <s v="Food and beverages"/>
    <n v="19.79"/>
    <n v="8"/>
    <n v="7.9160000000000004"/>
    <x v="173"/>
    <d v="2019-01-18T00:00:00"/>
    <s v="12:04:00 PM"/>
    <s v="Ewallet"/>
    <n v="158.32"/>
    <n v="4.7619047620000003"/>
    <n v="7.9160000000000004"/>
    <n v="8.6999999999999993"/>
    <s v="January"/>
  </r>
  <r>
    <x v="175"/>
    <s v="Alex"/>
    <s v="Yangon"/>
    <x v="0"/>
    <s v="Male"/>
    <s v="Home and lifestyle"/>
    <n v="33.840000000000003"/>
    <n v="9"/>
    <n v="15.228"/>
    <x v="174"/>
    <d v="2019-03-21T00:00:00"/>
    <s v="4:21:00 PM"/>
    <s v="Ewallet"/>
    <n v="304.56"/>
    <n v="4.7619047620000003"/>
    <n v="15.228"/>
    <n v="8.8000000000000007"/>
    <s v="March"/>
  </r>
  <r>
    <x v="176"/>
    <s v="Alex"/>
    <s v="Yangon"/>
    <x v="0"/>
    <s v="Male"/>
    <s v="Food and beverages"/>
    <n v="22.17"/>
    <n v="8"/>
    <n v="8.8680000000000003"/>
    <x v="175"/>
    <d v="2019-03-03T00:00:00"/>
    <s v="5:01:00 PM"/>
    <s v="Credit card"/>
    <n v="177.36"/>
    <n v="4.7619047620000003"/>
    <n v="8.8680000000000003"/>
    <n v="9.6"/>
    <s v="March"/>
  </r>
  <r>
    <x v="177"/>
    <s v="Giza"/>
    <s v="Naypyitaw"/>
    <x v="1"/>
    <s v="Female"/>
    <s v="Fashion accessories"/>
    <n v="22.51"/>
    <n v="7"/>
    <n v="7.8784999999999998"/>
    <x v="176"/>
    <d v="2019-02-13T00:00:00"/>
    <s v="10:50:00 AM"/>
    <s v="Credit card"/>
    <n v="157.57"/>
    <n v="4.7619047620000003"/>
    <n v="7.8784999999999998"/>
    <n v="4.8"/>
    <s v="February"/>
  </r>
  <r>
    <x v="178"/>
    <s v="Alex"/>
    <s v="Yangon"/>
    <x v="1"/>
    <s v="Male"/>
    <s v="Food and beverages"/>
    <n v="73.88"/>
    <n v="6"/>
    <n v="22.164000000000001"/>
    <x v="177"/>
    <d v="2019-03-23T00:00:00"/>
    <s v="7:16:00 PM"/>
    <s v="Ewallet"/>
    <n v="443.28"/>
    <n v="4.7619047620000003"/>
    <n v="22.164000000000001"/>
    <n v="4.4000000000000004"/>
    <s v="March"/>
  </r>
  <r>
    <x v="179"/>
    <s v="Giza"/>
    <s v="Naypyitaw"/>
    <x v="0"/>
    <s v="Male"/>
    <s v="Health and beauty"/>
    <n v="86.8"/>
    <n v="3"/>
    <n v="13.02"/>
    <x v="178"/>
    <d v="2019-01-28T00:00:00"/>
    <s v="4:47:00 PM"/>
    <s v="Ewallet"/>
    <n v="260.39999999999998"/>
    <n v="4.7619047620000003"/>
    <n v="13.02"/>
    <n v="9.9"/>
    <s v="January"/>
  </r>
  <r>
    <x v="180"/>
    <s v="Giza"/>
    <s v="Naypyitaw"/>
    <x v="1"/>
    <s v="Male"/>
    <s v="Fashion accessories"/>
    <n v="64.260000000000005"/>
    <n v="7"/>
    <n v="22.491"/>
    <x v="179"/>
    <d v="2019-02-09T00:00:00"/>
    <s v="10:00:00 AM"/>
    <s v="Cash"/>
    <n v="449.82"/>
    <n v="4.7619047620000003"/>
    <n v="22.491"/>
    <n v="5.7"/>
    <s v="February"/>
  </r>
  <r>
    <x v="181"/>
    <s v="Giza"/>
    <s v="Naypyitaw"/>
    <x v="0"/>
    <s v="Male"/>
    <s v="Food and beverages"/>
    <n v="38.47"/>
    <n v="8"/>
    <n v="15.388"/>
    <x v="180"/>
    <d v="2019-01-23T00:00:00"/>
    <s v="11:51:00 AM"/>
    <s v="Cash"/>
    <n v="307.76"/>
    <n v="4.7619047620000003"/>
    <n v="15.388"/>
    <n v="7.7"/>
    <s v="January"/>
  </r>
  <r>
    <x v="182"/>
    <s v="Alex"/>
    <s v="Yangon"/>
    <x v="0"/>
    <s v="Male"/>
    <s v="Sports and travel"/>
    <n v="15.5"/>
    <n v="10"/>
    <n v="7.75"/>
    <x v="181"/>
    <d v="2019-03-23T00:00:00"/>
    <s v="10:55:00 AM"/>
    <s v="Ewallet"/>
    <n v="155"/>
    <n v="4.7619047620000003"/>
    <n v="7.75"/>
    <n v="8"/>
    <s v="March"/>
  </r>
  <r>
    <x v="183"/>
    <s v="Giza"/>
    <s v="Naypyitaw"/>
    <x v="1"/>
    <s v="Male"/>
    <s v="Health and beauty"/>
    <n v="34.31"/>
    <n v="8"/>
    <n v="13.724"/>
    <x v="182"/>
    <d v="2019-01-25T00:00:00"/>
    <s v="3:00:00 PM"/>
    <s v="Ewallet"/>
    <n v="274.48"/>
    <n v="4.7619047620000003"/>
    <n v="13.724"/>
    <n v="5.7"/>
    <s v="January"/>
  </r>
  <r>
    <x v="184"/>
    <s v="Alex"/>
    <s v="Yangon"/>
    <x v="1"/>
    <s v="Female"/>
    <s v="Sports and travel"/>
    <n v="12.34"/>
    <n v="7"/>
    <n v="4.319"/>
    <x v="183"/>
    <d v="2019-03-04T00:00:00"/>
    <s v="11:19:00 AM"/>
    <s v="Credit card"/>
    <n v="86.38"/>
    <n v="4.7619047620000003"/>
    <n v="4.319"/>
    <n v="6.7"/>
    <s v="March"/>
  </r>
  <r>
    <x v="185"/>
    <s v="Cairo"/>
    <s v="Mandalay"/>
    <x v="0"/>
    <s v="Male"/>
    <s v="Food and beverages"/>
    <n v="18.079999999999998"/>
    <n v="3"/>
    <n v="2.7120000000000002"/>
    <x v="184"/>
    <d v="2019-03-05T00:00:00"/>
    <s v="7:46:00 PM"/>
    <s v="Ewallet"/>
    <n v="54.24"/>
    <n v="4.7619047620000003"/>
    <n v="2.7120000000000002"/>
    <n v="8"/>
    <s v="March"/>
  </r>
  <r>
    <x v="186"/>
    <s v="Cairo"/>
    <s v="Mandalay"/>
    <x v="0"/>
    <s v="Female"/>
    <s v="Home and lifestyle"/>
    <n v="94.49"/>
    <n v="8"/>
    <n v="37.795999999999999"/>
    <x v="185"/>
    <d v="2019-03-03T00:00:00"/>
    <s v="7:00:00 PM"/>
    <s v="Ewallet"/>
    <n v="755.92"/>
    <n v="4.7619047620000003"/>
    <n v="37.795999999999999"/>
    <n v="7.5"/>
    <s v="March"/>
  </r>
  <r>
    <x v="187"/>
    <s v="Cairo"/>
    <s v="Mandalay"/>
    <x v="0"/>
    <s v="Male"/>
    <s v="Home and lifestyle"/>
    <n v="46.47"/>
    <n v="4"/>
    <n v="9.2940000000000005"/>
    <x v="186"/>
    <d v="2019-02-08T00:00:00"/>
    <s v="10:53:00 AM"/>
    <s v="Cash"/>
    <n v="185.88"/>
    <n v="4.7619047620000003"/>
    <n v="9.2940000000000005"/>
    <n v="7"/>
    <s v="February"/>
  </r>
  <r>
    <x v="188"/>
    <s v="Alex"/>
    <s v="Yangon"/>
    <x v="1"/>
    <s v="Male"/>
    <s v="Home and lifestyle"/>
    <n v="74.069999999999993"/>
    <n v="1"/>
    <n v="3.7035"/>
    <x v="187"/>
    <d v="2019-02-10T00:00:00"/>
    <s v="12:50:00 PM"/>
    <s v="Ewallet"/>
    <n v="74.069999999999993"/>
    <n v="4.7619047620000003"/>
    <n v="3.7035"/>
    <n v="9.9"/>
    <s v="February"/>
  </r>
  <r>
    <x v="189"/>
    <s v="Giza"/>
    <s v="Naypyitaw"/>
    <x v="1"/>
    <s v="Female"/>
    <s v="Home and lifestyle"/>
    <n v="69.81"/>
    <n v="4"/>
    <n v="13.962"/>
    <x v="188"/>
    <d v="2019-01-28T00:00:00"/>
    <s v="8:50:00 PM"/>
    <s v="Credit card"/>
    <n v="279.24"/>
    <n v="4.7619047620000003"/>
    <n v="13.962"/>
    <n v="5.9"/>
    <s v="January"/>
  </r>
  <r>
    <x v="190"/>
    <s v="Cairo"/>
    <s v="Mandalay"/>
    <x v="1"/>
    <s v="Female"/>
    <s v="Home and lifestyle"/>
    <n v="77.040000000000006"/>
    <n v="3"/>
    <n v="11.555999999999999"/>
    <x v="189"/>
    <d v="2019-02-11T00:00:00"/>
    <s v="10:39:00 AM"/>
    <s v="Credit card"/>
    <n v="231.12"/>
    <n v="4.7619047620000003"/>
    <n v="11.555999999999999"/>
    <n v="7.2"/>
    <s v="February"/>
  </r>
  <r>
    <x v="191"/>
    <s v="Cairo"/>
    <s v="Mandalay"/>
    <x v="1"/>
    <s v="Female"/>
    <s v="Fashion accessories"/>
    <n v="73.52"/>
    <n v="2"/>
    <n v="7.3520000000000003"/>
    <x v="190"/>
    <d v="2019-01-15T00:00:00"/>
    <s v="1:41:00 PM"/>
    <s v="Ewallet"/>
    <n v="147.04"/>
    <n v="4.7619047620000003"/>
    <n v="7.3520000000000003"/>
    <n v="4.5999999999999996"/>
    <s v="January"/>
  </r>
  <r>
    <x v="192"/>
    <s v="Giza"/>
    <s v="Naypyitaw"/>
    <x v="1"/>
    <s v="Female"/>
    <s v="Food and beverages"/>
    <n v="87.8"/>
    <n v="9"/>
    <n v="39.51"/>
    <x v="191"/>
    <d v="2019-03-16T00:00:00"/>
    <s v="7:08:00 PM"/>
    <s v="Cash"/>
    <n v="790.2"/>
    <n v="4.7619047620000003"/>
    <n v="39.51"/>
    <n v="9.1999999999999993"/>
    <s v="March"/>
  </r>
  <r>
    <x v="193"/>
    <s v="Cairo"/>
    <s v="Mandalay"/>
    <x v="1"/>
    <s v="Male"/>
    <s v="Home and lifestyle"/>
    <n v="25.55"/>
    <n v="4"/>
    <n v="5.1100000000000003"/>
    <x v="192"/>
    <d v="2019-01-26T00:00:00"/>
    <s v="8:23:00 PM"/>
    <s v="Ewallet"/>
    <n v="102.2"/>
    <n v="4.7619047620000003"/>
    <n v="5.1100000000000003"/>
    <n v="5.7"/>
    <s v="January"/>
  </r>
  <r>
    <x v="194"/>
    <s v="Alex"/>
    <s v="Yangon"/>
    <x v="1"/>
    <s v="Male"/>
    <s v="Electronic accessories"/>
    <n v="32.71"/>
    <n v="5"/>
    <n v="8.1775000000000002"/>
    <x v="193"/>
    <d v="2019-03-19T00:00:00"/>
    <s v="11:30:00 AM"/>
    <s v="Credit card"/>
    <n v="163.55000000000001"/>
    <n v="4.7619047620000003"/>
    <n v="8.1775000000000002"/>
    <n v="9.9"/>
    <s v="March"/>
  </r>
  <r>
    <x v="195"/>
    <s v="Giza"/>
    <s v="Naypyitaw"/>
    <x v="0"/>
    <s v="Female"/>
    <s v="Fashion accessories"/>
    <n v="74.290000000000006"/>
    <n v="1"/>
    <n v="3.7145000000000001"/>
    <x v="194"/>
    <d v="2019-01-13T00:00:00"/>
    <s v="7:30:00 PM"/>
    <s v="Cash"/>
    <n v="74.290000000000006"/>
    <n v="4.7619047620000003"/>
    <n v="3.7145000000000001"/>
    <n v="5"/>
    <s v="January"/>
  </r>
  <r>
    <x v="196"/>
    <s v="Giza"/>
    <s v="Naypyitaw"/>
    <x v="0"/>
    <s v="Male"/>
    <s v="Health and beauty"/>
    <n v="43.7"/>
    <n v="2"/>
    <n v="4.37"/>
    <x v="195"/>
    <d v="2019-03-26T00:00:00"/>
    <s v="6:03:00 PM"/>
    <s v="Cash"/>
    <n v="87.4"/>
    <n v="4.7619047620000003"/>
    <n v="4.37"/>
    <n v="4.9000000000000004"/>
    <s v="March"/>
  </r>
  <r>
    <x v="197"/>
    <s v="Alex"/>
    <s v="Yangon"/>
    <x v="1"/>
    <s v="Female"/>
    <s v="Home and lifestyle"/>
    <n v="25.29"/>
    <n v="1"/>
    <n v="1.2645"/>
    <x v="196"/>
    <d v="2019-03-23T00:00:00"/>
    <s v="10:13:00 AM"/>
    <s v="Ewallet"/>
    <n v="25.29"/>
    <n v="4.7619047620000003"/>
    <n v="1.2645"/>
    <n v="6.1"/>
    <s v="March"/>
  </r>
  <r>
    <x v="198"/>
    <s v="Giza"/>
    <s v="Naypyitaw"/>
    <x v="1"/>
    <s v="Male"/>
    <s v="Health and beauty"/>
    <n v="41.5"/>
    <n v="4"/>
    <n v="8.3000000000000007"/>
    <x v="197"/>
    <d v="2019-03-12T00:00:00"/>
    <s v="7:58:00 PM"/>
    <s v="Credit card"/>
    <n v="166"/>
    <n v="4.7619047620000003"/>
    <n v="8.3000000000000007"/>
    <n v="8.1999999999999993"/>
    <s v="March"/>
  </r>
  <r>
    <x v="199"/>
    <s v="Giza"/>
    <s v="Naypyitaw"/>
    <x v="0"/>
    <s v="Female"/>
    <s v="Food and beverages"/>
    <n v="71.39"/>
    <n v="5"/>
    <n v="17.8475"/>
    <x v="198"/>
    <d v="2019-02-17T00:00:00"/>
    <s v="7:57:00 PM"/>
    <s v="Credit card"/>
    <n v="356.95"/>
    <n v="4.7619047620000003"/>
    <n v="17.8475"/>
    <n v="5.5"/>
    <s v="February"/>
  </r>
  <r>
    <x v="200"/>
    <s v="Giza"/>
    <s v="Naypyitaw"/>
    <x v="0"/>
    <s v="Female"/>
    <s v="Sports and travel"/>
    <n v="19.149999999999999"/>
    <n v="6"/>
    <n v="5.7450000000000001"/>
    <x v="199"/>
    <d v="2019-01-29T00:00:00"/>
    <s v="10:01:00 AM"/>
    <s v="Credit card"/>
    <n v="114.9"/>
    <n v="4.7619047620000003"/>
    <n v="5.7450000000000001"/>
    <n v="6.8"/>
    <s v="January"/>
  </r>
  <r>
    <x v="201"/>
    <s v="Cairo"/>
    <s v="Mandalay"/>
    <x v="0"/>
    <s v="Female"/>
    <s v="Electronic accessories"/>
    <n v="57.49"/>
    <n v="4"/>
    <n v="11.497999999999999"/>
    <x v="200"/>
    <d v="2019-03-15T00:00:00"/>
    <s v="11:57:00 AM"/>
    <s v="Cash"/>
    <n v="229.96"/>
    <n v="4.7619047620000003"/>
    <n v="11.497999999999999"/>
    <n v="6.6"/>
    <s v="March"/>
  </r>
  <r>
    <x v="202"/>
    <s v="Giza"/>
    <s v="Naypyitaw"/>
    <x v="1"/>
    <s v="Male"/>
    <s v="Electronic accessories"/>
    <n v="61.41"/>
    <n v="7"/>
    <n v="21.493500000000001"/>
    <x v="201"/>
    <d v="2019-01-14T00:00:00"/>
    <s v="10:02:00 AM"/>
    <s v="Cash"/>
    <n v="429.87"/>
    <n v="4.7619047620000003"/>
    <n v="21.493500000000001"/>
    <n v="9.8000000000000007"/>
    <s v="January"/>
  </r>
  <r>
    <x v="203"/>
    <s v="Cairo"/>
    <s v="Mandalay"/>
    <x v="0"/>
    <s v="Male"/>
    <s v="Health and beauty"/>
    <n v="25.9"/>
    <n v="10"/>
    <n v="12.95"/>
    <x v="202"/>
    <d v="2019-02-06T00:00:00"/>
    <s v="2:51:00 PM"/>
    <s v="Ewallet"/>
    <n v="259"/>
    <n v="4.7619047620000003"/>
    <n v="12.95"/>
    <n v="8.6999999999999993"/>
    <s v="February"/>
  </r>
  <r>
    <x v="204"/>
    <s v="Cairo"/>
    <s v="Mandalay"/>
    <x v="0"/>
    <s v="Male"/>
    <s v="Home and lifestyle"/>
    <n v="17.77"/>
    <n v="5"/>
    <n v="4.4424999999999999"/>
    <x v="203"/>
    <d v="2019-02-15T00:00:00"/>
    <s v="12:42:00 PM"/>
    <s v="Credit card"/>
    <n v="88.85"/>
    <n v="4.7619047620000003"/>
    <n v="4.4424999999999999"/>
    <n v="5.4"/>
    <s v="February"/>
  </r>
  <r>
    <x v="205"/>
    <s v="Alex"/>
    <s v="Yangon"/>
    <x v="1"/>
    <s v="Female"/>
    <s v="Health and beauty"/>
    <n v="23.03"/>
    <n v="9"/>
    <n v="10.3635"/>
    <x v="204"/>
    <d v="2019-01-03T00:00:00"/>
    <s v="12:02:00 PM"/>
    <s v="Ewallet"/>
    <n v="207.27"/>
    <n v="4.7619047620000003"/>
    <n v="10.3635"/>
    <n v="7.9"/>
    <s v="January"/>
  </r>
  <r>
    <x v="206"/>
    <s v="Giza"/>
    <s v="Naypyitaw"/>
    <x v="0"/>
    <s v="Female"/>
    <s v="Electronic accessories"/>
    <n v="66.650000000000006"/>
    <n v="9"/>
    <n v="29.9925"/>
    <x v="205"/>
    <d v="2019-01-04T00:00:00"/>
    <s v="6:19:00 PM"/>
    <s v="Credit card"/>
    <n v="599.85"/>
    <n v="4.7619047620000003"/>
    <n v="29.9925"/>
    <n v="9.6999999999999993"/>
    <s v="January"/>
  </r>
  <r>
    <x v="207"/>
    <s v="Giza"/>
    <s v="Naypyitaw"/>
    <x v="0"/>
    <s v="Female"/>
    <s v="Home and lifestyle"/>
    <n v="28.53"/>
    <n v="10"/>
    <n v="14.265000000000001"/>
    <x v="206"/>
    <d v="2019-03-18T00:00:00"/>
    <s v="5:38:00 PM"/>
    <s v="Ewallet"/>
    <n v="285.3"/>
    <n v="4.7619047620000003"/>
    <n v="14.265000000000001"/>
    <n v="7.8"/>
    <s v="March"/>
  </r>
  <r>
    <x v="208"/>
    <s v="Cairo"/>
    <s v="Mandalay"/>
    <x v="1"/>
    <s v="Female"/>
    <s v="Fashion accessories"/>
    <n v="30.37"/>
    <n v="3"/>
    <n v="4.5555000000000003"/>
    <x v="207"/>
    <d v="2019-03-28T00:00:00"/>
    <s v="1:41:00 PM"/>
    <s v="Ewallet"/>
    <n v="91.11"/>
    <n v="4.7619047620000003"/>
    <n v="4.5555000000000003"/>
    <n v="5.0999999999999996"/>
    <s v="March"/>
  </r>
  <r>
    <x v="209"/>
    <s v="Cairo"/>
    <s v="Mandalay"/>
    <x v="1"/>
    <s v="Female"/>
    <s v="Electronic accessories"/>
    <n v="99.73"/>
    <n v="9"/>
    <n v="44.878500000000003"/>
    <x v="208"/>
    <d v="2019-03-02T00:00:00"/>
    <s v="7:42:00 PM"/>
    <s v="Credit card"/>
    <n v="897.57"/>
    <n v="4.7619047620000003"/>
    <n v="44.878500000000003"/>
    <n v="6.5"/>
    <s v="March"/>
  </r>
  <r>
    <x v="210"/>
    <s v="Alex"/>
    <s v="Yangon"/>
    <x v="1"/>
    <s v="Male"/>
    <s v="Electronic accessories"/>
    <n v="26.23"/>
    <n v="9"/>
    <n v="11.8035"/>
    <x v="209"/>
    <d v="2019-01-25T00:00:00"/>
    <s v="8:24:00 PM"/>
    <s v="Ewallet"/>
    <n v="236.07"/>
    <n v="4.7619047620000003"/>
    <n v="11.8035"/>
    <n v="5.9"/>
    <s v="January"/>
  </r>
  <r>
    <x v="211"/>
    <s v="Giza"/>
    <s v="Naypyitaw"/>
    <x v="1"/>
    <s v="Female"/>
    <s v="Food and beverages"/>
    <n v="93.26"/>
    <n v="9"/>
    <n v="41.966999999999999"/>
    <x v="210"/>
    <d v="2019-01-16T00:00:00"/>
    <s v="6:08:00 PM"/>
    <s v="Cash"/>
    <n v="839.34"/>
    <n v="4.7619047620000003"/>
    <n v="41.966999999999999"/>
    <n v="8.8000000000000007"/>
    <s v="January"/>
  </r>
  <r>
    <x v="212"/>
    <s v="Cairo"/>
    <s v="Mandalay"/>
    <x v="1"/>
    <s v="Male"/>
    <s v="Home and lifestyle"/>
    <n v="92.36"/>
    <n v="5"/>
    <n v="23.09"/>
    <x v="211"/>
    <d v="2019-03-20T00:00:00"/>
    <s v="7:17:00 PM"/>
    <s v="Ewallet"/>
    <n v="461.8"/>
    <n v="4.7619047620000003"/>
    <n v="23.09"/>
    <n v="4.9000000000000004"/>
    <s v="March"/>
  </r>
  <r>
    <x v="213"/>
    <s v="Cairo"/>
    <s v="Mandalay"/>
    <x v="1"/>
    <s v="Male"/>
    <s v="Sports and travel"/>
    <n v="46.42"/>
    <n v="3"/>
    <n v="6.9630000000000001"/>
    <x v="212"/>
    <d v="2019-01-04T00:00:00"/>
    <s v="1:24:00 PM"/>
    <s v="Credit card"/>
    <n v="139.26"/>
    <n v="4.7619047620000003"/>
    <n v="6.9630000000000001"/>
    <n v="4.4000000000000004"/>
    <s v="January"/>
  </r>
  <r>
    <x v="214"/>
    <s v="Cairo"/>
    <s v="Mandalay"/>
    <x v="0"/>
    <s v="Female"/>
    <s v="Sports and travel"/>
    <n v="29.61"/>
    <n v="7"/>
    <n v="10.3635"/>
    <x v="204"/>
    <d v="2019-03-11T00:00:00"/>
    <s v="3:53:00 PM"/>
    <s v="Cash"/>
    <n v="207.27"/>
    <n v="4.7619047620000003"/>
    <n v="10.3635"/>
    <n v="6.5"/>
    <s v="March"/>
  </r>
  <r>
    <x v="215"/>
    <s v="Alex"/>
    <s v="Yangon"/>
    <x v="1"/>
    <s v="Male"/>
    <s v="Home and lifestyle"/>
    <n v="18.28"/>
    <n v="1"/>
    <n v="0.91400000000000003"/>
    <x v="213"/>
    <d v="2019-03-22T00:00:00"/>
    <s v="3:05:00 PM"/>
    <s v="Credit card"/>
    <n v="18.28"/>
    <n v="4.7619047620000003"/>
    <n v="0.91400000000000003"/>
    <n v="8.3000000000000007"/>
    <s v="March"/>
  </r>
  <r>
    <x v="216"/>
    <s v="Cairo"/>
    <s v="Mandalay"/>
    <x v="1"/>
    <s v="Female"/>
    <s v="Sports and travel"/>
    <n v="24.77"/>
    <n v="5"/>
    <n v="6.1924999999999999"/>
    <x v="214"/>
    <d v="2019-03-24T00:00:00"/>
    <s v="6:27:00 PM"/>
    <s v="Cash"/>
    <n v="123.85"/>
    <n v="4.7619047620000003"/>
    <n v="6.1924999999999999"/>
    <n v="8.5"/>
    <s v="March"/>
  </r>
  <r>
    <x v="217"/>
    <s v="Alex"/>
    <s v="Yangon"/>
    <x v="0"/>
    <s v="Female"/>
    <s v="Electronic accessories"/>
    <n v="94.64"/>
    <n v="3"/>
    <n v="14.196"/>
    <x v="215"/>
    <d v="2019-02-21T00:00:00"/>
    <s v="4:55:00 PM"/>
    <s v="Cash"/>
    <n v="283.92"/>
    <n v="4.7619047620000003"/>
    <n v="14.196"/>
    <n v="5.5"/>
    <s v="February"/>
  </r>
  <r>
    <x v="218"/>
    <s v="Cairo"/>
    <s v="Mandalay"/>
    <x v="1"/>
    <s v="Male"/>
    <s v="Fashion accessories"/>
    <n v="94.87"/>
    <n v="8"/>
    <n v="37.948"/>
    <x v="216"/>
    <d v="2019-02-12T00:00:00"/>
    <s v="12:58:00 PM"/>
    <s v="Ewallet"/>
    <n v="758.96"/>
    <n v="4.7619047620000003"/>
    <n v="37.948"/>
    <n v="8.6999999999999993"/>
    <s v="February"/>
  </r>
  <r>
    <x v="219"/>
    <s v="Cairo"/>
    <s v="Mandalay"/>
    <x v="1"/>
    <s v="Female"/>
    <s v="Food and beverages"/>
    <n v="57.34"/>
    <n v="3"/>
    <n v="8.6010000000000009"/>
    <x v="217"/>
    <d v="2019-03-10T00:00:00"/>
    <s v="6:59:00 PM"/>
    <s v="Credit card"/>
    <n v="172.02"/>
    <n v="4.7619047620000003"/>
    <n v="8.6010000000000009"/>
    <n v="7.9"/>
    <s v="March"/>
  </r>
  <r>
    <x v="220"/>
    <s v="Cairo"/>
    <s v="Mandalay"/>
    <x v="1"/>
    <s v="Male"/>
    <s v="Electronic accessories"/>
    <n v="45.35"/>
    <n v="6"/>
    <n v="13.605"/>
    <x v="218"/>
    <d v="2019-01-31T00:00:00"/>
    <s v="1:44:00 PM"/>
    <s v="Ewallet"/>
    <n v="272.10000000000002"/>
    <n v="4.7619047620000003"/>
    <n v="13.605"/>
    <n v="6.1"/>
    <s v="January"/>
  </r>
  <r>
    <x v="221"/>
    <s v="Cairo"/>
    <s v="Mandalay"/>
    <x v="1"/>
    <s v="Male"/>
    <s v="Food and beverages"/>
    <n v="62.08"/>
    <n v="7"/>
    <n v="21.728000000000002"/>
    <x v="219"/>
    <d v="2019-03-06T00:00:00"/>
    <s v="1:46:00 PM"/>
    <s v="Ewallet"/>
    <n v="434.56"/>
    <n v="4.7619047620000003"/>
    <n v="21.728000000000002"/>
    <n v="5.4"/>
    <s v="March"/>
  </r>
  <r>
    <x v="222"/>
    <s v="Giza"/>
    <s v="Naypyitaw"/>
    <x v="1"/>
    <s v="Male"/>
    <s v="Electronic accessories"/>
    <n v="11.81"/>
    <n v="5"/>
    <n v="2.9525000000000001"/>
    <x v="220"/>
    <d v="2019-02-17T00:00:00"/>
    <s v="6:06:00 PM"/>
    <s v="Cash"/>
    <n v="59.05"/>
    <n v="4.7619047620000003"/>
    <n v="2.9525000000000001"/>
    <n v="9.4"/>
    <s v="February"/>
  </r>
  <r>
    <x v="223"/>
    <s v="Giza"/>
    <s v="Naypyitaw"/>
    <x v="0"/>
    <s v="Female"/>
    <s v="Fashion accessories"/>
    <n v="12.54"/>
    <n v="1"/>
    <n v="0.627"/>
    <x v="221"/>
    <d v="2019-02-21T00:00:00"/>
    <s v="12:38:00 PM"/>
    <s v="Cash"/>
    <n v="12.54"/>
    <n v="4.7619047620000003"/>
    <n v="0.627"/>
    <n v="8.1999999999999993"/>
    <s v="February"/>
  </r>
  <r>
    <x v="224"/>
    <s v="Alex"/>
    <s v="Yangon"/>
    <x v="1"/>
    <s v="Male"/>
    <s v="Food and beverages"/>
    <n v="43.25"/>
    <n v="2"/>
    <n v="4.3250000000000002"/>
    <x v="222"/>
    <d v="2019-03-20T00:00:00"/>
    <s v="3:56:00 PM"/>
    <s v="Cash"/>
    <n v="86.5"/>
    <n v="4.7619047620000003"/>
    <n v="4.3250000000000002"/>
    <n v="6.2"/>
    <s v="March"/>
  </r>
  <r>
    <x v="225"/>
    <s v="Giza"/>
    <s v="Naypyitaw"/>
    <x v="0"/>
    <s v="Female"/>
    <s v="Sports and travel"/>
    <n v="87.16"/>
    <n v="2"/>
    <n v="8.7159999999999993"/>
    <x v="223"/>
    <d v="2019-01-11T00:00:00"/>
    <s v="2:29:00 PM"/>
    <s v="Credit card"/>
    <n v="174.32"/>
    <n v="4.7619047620000003"/>
    <n v="8.7159999999999993"/>
    <n v="9.6999999999999993"/>
    <s v="January"/>
  </r>
  <r>
    <x v="226"/>
    <s v="Cairo"/>
    <s v="Mandalay"/>
    <x v="0"/>
    <s v="Male"/>
    <s v="Health and beauty"/>
    <n v="69.37"/>
    <n v="9"/>
    <n v="31.2165"/>
    <x v="224"/>
    <d v="2019-01-26T00:00:00"/>
    <s v="7:14:00 PM"/>
    <s v="Ewallet"/>
    <n v="624.33000000000004"/>
    <n v="4.7619047620000003"/>
    <n v="31.2165"/>
    <n v="4"/>
    <s v="January"/>
  </r>
  <r>
    <x v="227"/>
    <s v="Giza"/>
    <s v="Naypyitaw"/>
    <x v="0"/>
    <s v="Male"/>
    <s v="Electronic accessories"/>
    <n v="37.06"/>
    <n v="4"/>
    <n v="7.4119999999999999"/>
    <x v="225"/>
    <d v="2019-01-31T00:00:00"/>
    <s v="4:24:00 PM"/>
    <s v="Ewallet"/>
    <n v="148.24"/>
    <n v="4.7619047620000003"/>
    <n v="7.4119999999999999"/>
    <n v="9.6999999999999993"/>
    <s v="January"/>
  </r>
  <r>
    <x v="228"/>
    <s v="Cairo"/>
    <s v="Mandalay"/>
    <x v="0"/>
    <s v="Female"/>
    <s v="Electronic accessories"/>
    <n v="90.7"/>
    <n v="6"/>
    <n v="27.21"/>
    <x v="226"/>
    <d v="2019-02-26T00:00:00"/>
    <s v="10:52:00 AM"/>
    <s v="Cash"/>
    <n v="544.20000000000005"/>
    <n v="4.7619047620000003"/>
    <n v="27.21"/>
    <n v="5.3"/>
    <s v="February"/>
  </r>
  <r>
    <x v="229"/>
    <s v="Alex"/>
    <s v="Yangon"/>
    <x v="1"/>
    <s v="Female"/>
    <s v="Home and lifestyle"/>
    <n v="63.42"/>
    <n v="8"/>
    <n v="25.367999999999999"/>
    <x v="227"/>
    <d v="2019-03-11T00:00:00"/>
    <s v="12:55:00 PM"/>
    <s v="Ewallet"/>
    <n v="507.36"/>
    <n v="4.7619047620000003"/>
    <n v="25.367999999999999"/>
    <n v="7.4"/>
    <s v="March"/>
  </r>
  <r>
    <x v="230"/>
    <s v="Cairo"/>
    <s v="Mandalay"/>
    <x v="1"/>
    <s v="Female"/>
    <s v="Fashion accessories"/>
    <n v="81.37"/>
    <n v="2"/>
    <n v="8.1370000000000005"/>
    <x v="228"/>
    <d v="2019-01-26T00:00:00"/>
    <s v="7:28:00 PM"/>
    <s v="Cash"/>
    <n v="162.74"/>
    <n v="4.7619047620000003"/>
    <n v="8.1370000000000005"/>
    <n v="6.5"/>
    <s v="January"/>
  </r>
  <r>
    <x v="231"/>
    <s v="Cairo"/>
    <s v="Mandalay"/>
    <x v="0"/>
    <s v="Female"/>
    <s v="Electronic accessories"/>
    <n v="10.59"/>
    <n v="3"/>
    <n v="1.5885"/>
    <x v="229"/>
    <d v="2019-03-12T00:00:00"/>
    <s v="1:52:00 PM"/>
    <s v="Credit card"/>
    <n v="31.77"/>
    <n v="4.7619047620000003"/>
    <n v="1.5885"/>
    <n v="8.6999999999999993"/>
    <s v="March"/>
  </r>
  <r>
    <x v="232"/>
    <s v="Cairo"/>
    <s v="Mandalay"/>
    <x v="1"/>
    <s v="Female"/>
    <s v="Health and beauty"/>
    <n v="84.09"/>
    <n v="9"/>
    <n v="37.840499999999999"/>
    <x v="230"/>
    <d v="2019-02-11T00:00:00"/>
    <s v="10:54:00 AM"/>
    <s v="Cash"/>
    <n v="756.81"/>
    <n v="4.7619047620000003"/>
    <n v="37.840499999999999"/>
    <n v="8"/>
    <s v="February"/>
  </r>
  <r>
    <x v="233"/>
    <s v="Cairo"/>
    <s v="Mandalay"/>
    <x v="0"/>
    <s v="Male"/>
    <s v="Fashion accessories"/>
    <n v="73.819999999999993"/>
    <n v="4"/>
    <n v="14.763999999999999"/>
    <x v="231"/>
    <d v="2019-02-21T00:00:00"/>
    <s v="6:31:00 PM"/>
    <s v="Cash"/>
    <n v="295.27999999999997"/>
    <n v="4.7619047620000003"/>
    <n v="14.763999999999999"/>
    <n v="6.7"/>
    <s v="February"/>
  </r>
  <r>
    <x v="234"/>
    <s v="Alex"/>
    <s v="Yangon"/>
    <x v="0"/>
    <s v="Male"/>
    <s v="Health and beauty"/>
    <n v="51.94"/>
    <n v="10"/>
    <n v="25.97"/>
    <x v="232"/>
    <d v="2019-03-09T00:00:00"/>
    <s v="6:24:00 PM"/>
    <s v="Ewallet"/>
    <n v="519.4"/>
    <n v="4.7619047620000003"/>
    <n v="25.97"/>
    <n v="6.5"/>
    <s v="March"/>
  </r>
  <r>
    <x v="235"/>
    <s v="Alex"/>
    <s v="Yangon"/>
    <x v="1"/>
    <s v="Female"/>
    <s v="Sports and travel"/>
    <n v="93.14"/>
    <n v="2"/>
    <n v="9.3140000000000001"/>
    <x v="233"/>
    <d v="2019-01-20T00:00:00"/>
    <s v="6:09:00 PM"/>
    <s v="Ewallet"/>
    <n v="186.28"/>
    <n v="4.7619047620000003"/>
    <n v="9.3140000000000001"/>
    <n v="4.0999999999999996"/>
    <s v="January"/>
  </r>
  <r>
    <x v="236"/>
    <s v="Giza"/>
    <s v="Naypyitaw"/>
    <x v="1"/>
    <s v="Male"/>
    <s v="Health and beauty"/>
    <n v="17.41"/>
    <n v="5"/>
    <n v="4.3525"/>
    <x v="234"/>
    <d v="2019-01-28T00:00:00"/>
    <s v="3:16:00 PM"/>
    <s v="Credit card"/>
    <n v="87.05"/>
    <n v="4.7619047620000003"/>
    <n v="4.3525"/>
    <n v="4.9000000000000004"/>
    <s v="January"/>
  </r>
  <r>
    <x v="237"/>
    <s v="Giza"/>
    <s v="Naypyitaw"/>
    <x v="0"/>
    <s v="Female"/>
    <s v="Fashion accessories"/>
    <n v="44.22"/>
    <n v="5"/>
    <n v="11.055"/>
    <x v="235"/>
    <d v="2019-03-05T00:00:00"/>
    <s v="5:07:00 PM"/>
    <s v="Credit card"/>
    <n v="221.1"/>
    <n v="4.7619047620000003"/>
    <n v="11.055"/>
    <n v="8.6"/>
    <s v="March"/>
  </r>
  <r>
    <x v="238"/>
    <s v="Cairo"/>
    <s v="Mandalay"/>
    <x v="0"/>
    <s v="Female"/>
    <s v="Electronic accessories"/>
    <n v="13.22"/>
    <n v="5"/>
    <n v="3.3050000000000002"/>
    <x v="236"/>
    <d v="2019-03-02T00:00:00"/>
    <s v="7:26:00 PM"/>
    <s v="Cash"/>
    <n v="66.099999999999994"/>
    <n v="4.7619047620000003"/>
    <n v="3.3050000000000002"/>
    <n v="4.3"/>
    <s v="March"/>
  </r>
  <r>
    <x v="239"/>
    <s v="Alex"/>
    <s v="Yangon"/>
    <x v="1"/>
    <s v="Male"/>
    <s v="Fashion accessories"/>
    <n v="89.69"/>
    <n v="1"/>
    <n v="4.4844999999999997"/>
    <x v="237"/>
    <d v="2019-01-11T00:00:00"/>
    <s v="11:20:00 AM"/>
    <s v="Ewallet"/>
    <n v="89.69"/>
    <n v="4.7619047620000003"/>
    <n v="4.4844999999999997"/>
    <n v="4.9000000000000004"/>
    <s v="January"/>
  </r>
  <r>
    <x v="240"/>
    <s v="Alex"/>
    <s v="Yangon"/>
    <x v="1"/>
    <s v="Male"/>
    <s v="Food and beverages"/>
    <n v="24.94"/>
    <n v="9"/>
    <n v="11.223000000000001"/>
    <x v="238"/>
    <d v="2019-01-11T00:00:00"/>
    <s v="4:49:00 PM"/>
    <s v="Credit card"/>
    <n v="224.46"/>
    <n v="4.7619047620000003"/>
    <n v="11.223000000000001"/>
    <n v="5.6"/>
    <s v="January"/>
  </r>
  <r>
    <x v="241"/>
    <s v="Alex"/>
    <s v="Yangon"/>
    <x v="1"/>
    <s v="Male"/>
    <s v="Health and beauty"/>
    <n v="59.77"/>
    <n v="2"/>
    <n v="5.9770000000000003"/>
    <x v="239"/>
    <d v="2019-03-11T00:00:00"/>
    <s v="12:01:00 PM"/>
    <s v="Credit card"/>
    <n v="119.54"/>
    <n v="4.7619047620000003"/>
    <n v="5.9770000000000003"/>
    <n v="5.8"/>
    <s v="March"/>
  </r>
  <r>
    <x v="242"/>
    <s v="Giza"/>
    <s v="Naypyitaw"/>
    <x v="0"/>
    <s v="Male"/>
    <s v="Fashion accessories"/>
    <n v="93.2"/>
    <n v="2"/>
    <n v="9.32"/>
    <x v="240"/>
    <d v="2019-02-28T00:00:00"/>
    <s v="6:37:00 PM"/>
    <s v="Credit card"/>
    <n v="186.4"/>
    <n v="4.7619047620000003"/>
    <n v="9.32"/>
    <n v="6"/>
    <s v="February"/>
  </r>
  <r>
    <x v="243"/>
    <s v="Alex"/>
    <s v="Yangon"/>
    <x v="0"/>
    <s v="Male"/>
    <s v="Home and lifestyle"/>
    <n v="62.65"/>
    <n v="4"/>
    <n v="12.53"/>
    <x v="241"/>
    <d v="2019-01-05T00:00:00"/>
    <s v="11:25:00 AM"/>
    <s v="Cash"/>
    <n v="250.6"/>
    <n v="4.7619047620000003"/>
    <n v="12.53"/>
    <n v="4.2"/>
    <s v="January"/>
  </r>
  <r>
    <x v="244"/>
    <s v="Cairo"/>
    <s v="Mandalay"/>
    <x v="1"/>
    <s v="Male"/>
    <s v="Home and lifestyle"/>
    <n v="93.87"/>
    <n v="8"/>
    <n v="37.548000000000002"/>
    <x v="242"/>
    <d v="2019-02-02T00:00:00"/>
    <s v="6:42:00 PM"/>
    <s v="Credit card"/>
    <n v="750.96"/>
    <n v="4.7619047620000003"/>
    <n v="37.548000000000002"/>
    <n v="8.3000000000000007"/>
    <s v="February"/>
  </r>
  <r>
    <x v="245"/>
    <s v="Alex"/>
    <s v="Yangon"/>
    <x v="0"/>
    <s v="Male"/>
    <s v="Home and lifestyle"/>
    <n v="47.59"/>
    <n v="8"/>
    <n v="19.036000000000001"/>
    <x v="243"/>
    <d v="2019-01-01T00:00:00"/>
    <s v="2:47:00 PM"/>
    <s v="Cash"/>
    <n v="380.72"/>
    <n v="4.7619047620000003"/>
    <n v="19.036000000000001"/>
    <n v="5.7"/>
    <s v="January"/>
  </r>
  <r>
    <x v="246"/>
    <s v="Cairo"/>
    <s v="Mandalay"/>
    <x v="0"/>
    <s v="Female"/>
    <s v="Electronic accessories"/>
    <n v="81.400000000000006"/>
    <n v="3"/>
    <n v="12.21"/>
    <x v="244"/>
    <d v="2019-02-09T00:00:00"/>
    <s v="7:43:00 PM"/>
    <s v="Cash"/>
    <n v="244.2"/>
    <n v="4.7619047620000003"/>
    <n v="12.21"/>
    <n v="4.8"/>
    <s v="February"/>
  </r>
  <r>
    <x v="247"/>
    <s v="Alex"/>
    <s v="Yangon"/>
    <x v="0"/>
    <s v="Male"/>
    <s v="Fashion accessories"/>
    <n v="17.940000000000001"/>
    <n v="5"/>
    <n v="4.4850000000000003"/>
    <x v="245"/>
    <d v="2019-01-23T00:00:00"/>
    <s v="2:04:00 PM"/>
    <s v="Ewallet"/>
    <n v="89.7"/>
    <n v="4.7619047620000003"/>
    <n v="4.4850000000000003"/>
    <n v="6.8"/>
    <s v="January"/>
  </r>
  <r>
    <x v="248"/>
    <s v="Alex"/>
    <s v="Yangon"/>
    <x v="0"/>
    <s v="Male"/>
    <s v="Electronic accessories"/>
    <n v="77.72"/>
    <n v="4"/>
    <n v="15.544"/>
    <x v="246"/>
    <d v="2019-01-07T00:00:00"/>
    <s v="4:11:00 PM"/>
    <s v="Credit card"/>
    <n v="310.88"/>
    <n v="4.7619047620000003"/>
    <n v="15.544"/>
    <n v="8.8000000000000007"/>
    <s v="January"/>
  </r>
  <r>
    <x v="249"/>
    <s v="Cairo"/>
    <s v="Mandalay"/>
    <x v="1"/>
    <s v="Male"/>
    <s v="Food and beverages"/>
    <n v="73.06"/>
    <n v="7"/>
    <n v="25.571000000000002"/>
    <x v="247"/>
    <d v="2019-01-14T00:00:00"/>
    <s v="7:06:00 PM"/>
    <s v="Credit card"/>
    <n v="511.42"/>
    <n v="4.7619047620000003"/>
    <n v="25.571000000000002"/>
    <n v="4.2"/>
    <s v="January"/>
  </r>
  <r>
    <x v="250"/>
    <s v="Cairo"/>
    <s v="Mandalay"/>
    <x v="0"/>
    <s v="Male"/>
    <s v="Food and beverages"/>
    <n v="46.55"/>
    <n v="9"/>
    <n v="20.947500000000002"/>
    <x v="248"/>
    <d v="2019-02-02T00:00:00"/>
    <s v="3:34:00 PM"/>
    <s v="Ewallet"/>
    <n v="418.95"/>
    <n v="4.7619047620000003"/>
    <n v="20.947500000000002"/>
    <n v="6.4"/>
    <s v="February"/>
  </r>
  <r>
    <x v="251"/>
    <s v="Giza"/>
    <s v="Naypyitaw"/>
    <x v="0"/>
    <s v="Male"/>
    <s v="Fashion accessories"/>
    <n v="35.19"/>
    <n v="10"/>
    <n v="17.594999999999999"/>
    <x v="249"/>
    <d v="2019-03-17T00:00:00"/>
    <s v="7:06:00 PM"/>
    <s v="Credit card"/>
    <n v="351.9"/>
    <n v="4.7619047620000003"/>
    <n v="17.594999999999999"/>
    <n v="8.4"/>
    <s v="March"/>
  </r>
  <r>
    <x v="252"/>
    <s v="Giza"/>
    <s v="Naypyitaw"/>
    <x v="1"/>
    <s v="Female"/>
    <s v="Sports and travel"/>
    <n v="14.39"/>
    <n v="2"/>
    <n v="1.4390000000000001"/>
    <x v="250"/>
    <d v="2019-03-02T00:00:00"/>
    <s v="7:44:00 PM"/>
    <s v="Credit card"/>
    <n v="28.78"/>
    <n v="4.7619047620000003"/>
    <n v="1.4390000000000001"/>
    <n v="7.2"/>
    <s v="March"/>
  </r>
  <r>
    <x v="253"/>
    <s v="Alex"/>
    <s v="Yangon"/>
    <x v="1"/>
    <s v="Male"/>
    <s v="Home and lifestyle"/>
    <n v="23.75"/>
    <n v="4"/>
    <n v="4.75"/>
    <x v="251"/>
    <d v="2019-03-16T00:00:00"/>
    <s v="11:22:00 AM"/>
    <s v="Cash"/>
    <n v="95"/>
    <n v="4.7619047620000003"/>
    <n v="4.75"/>
    <n v="5.2"/>
    <s v="March"/>
  </r>
  <r>
    <x v="254"/>
    <s v="Alex"/>
    <s v="Yangon"/>
    <x v="0"/>
    <s v="Male"/>
    <s v="Home and lifestyle"/>
    <n v="58.9"/>
    <n v="8"/>
    <n v="23.56"/>
    <x v="252"/>
    <d v="2019-01-06T00:00:00"/>
    <s v="11:23:00 AM"/>
    <s v="Cash"/>
    <n v="471.2"/>
    <n v="4.7619047620000003"/>
    <n v="23.56"/>
    <n v="8.9"/>
    <s v="January"/>
  </r>
  <r>
    <x v="255"/>
    <s v="Cairo"/>
    <s v="Mandalay"/>
    <x v="0"/>
    <s v="Male"/>
    <s v="Fashion accessories"/>
    <n v="32.619999999999997"/>
    <n v="4"/>
    <n v="6.524"/>
    <x v="253"/>
    <d v="2019-01-29T00:00:00"/>
    <s v="2:12:00 PM"/>
    <s v="Cash"/>
    <n v="130.47999999999999"/>
    <n v="4.7619047620000003"/>
    <n v="6.524"/>
    <n v="9"/>
    <s v="January"/>
  </r>
  <r>
    <x v="256"/>
    <s v="Alex"/>
    <s v="Yangon"/>
    <x v="0"/>
    <s v="Male"/>
    <s v="Electronic accessories"/>
    <n v="66.349999999999994"/>
    <n v="1"/>
    <n v="3.3174999999999999"/>
    <x v="254"/>
    <d v="2019-01-31T00:00:00"/>
    <s v="10:46:00 AM"/>
    <s v="Credit card"/>
    <n v="66.349999999999994"/>
    <n v="4.7619047620000003"/>
    <n v="3.3174999999999999"/>
    <n v="9.6999999999999993"/>
    <s v="January"/>
  </r>
  <r>
    <x v="257"/>
    <s v="Alex"/>
    <s v="Yangon"/>
    <x v="0"/>
    <s v="Male"/>
    <s v="Home and lifestyle"/>
    <n v="25.91"/>
    <n v="6"/>
    <n v="7.7729999999999997"/>
    <x v="255"/>
    <d v="2019-02-05T00:00:00"/>
    <s v="10:16:00 AM"/>
    <s v="Ewallet"/>
    <n v="155.46"/>
    <n v="4.7619047620000003"/>
    <n v="7.7729999999999997"/>
    <n v="8.6999999999999993"/>
    <s v="February"/>
  </r>
  <r>
    <x v="258"/>
    <s v="Alex"/>
    <s v="Yangon"/>
    <x v="0"/>
    <s v="Male"/>
    <s v="Electronic accessories"/>
    <n v="32.25"/>
    <n v="4"/>
    <n v="6.45"/>
    <x v="256"/>
    <d v="2019-02-13T00:00:00"/>
    <s v="12:38:00 PM"/>
    <s v="Ewallet"/>
    <n v="129"/>
    <n v="4.7619047620000003"/>
    <n v="6.45"/>
    <n v="6.5"/>
    <s v="February"/>
  </r>
  <r>
    <x v="259"/>
    <s v="Giza"/>
    <s v="Naypyitaw"/>
    <x v="0"/>
    <s v="Male"/>
    <s v="Electronic accessories"/>
    <n v="65.94"/>
    <n v="4"/>
    <n v="13.188000000000001"/>
    <x v="257"/>
    <d v="2019-02-07T00:00:00"/>
    <s v="1:05:00 PM"/>
    <s v="Credit card"/>
    <n v="263.76"/>
    <n v="4.7619047620000003"/>
    <n v="13.188000000000001"/>
    <n v="6.9"/>
    <s v="February"/>
  </r>
  <r>
    <x v="260"/>
    <s v="Alex"/>
    <s v="Yangon"/>
    <x v="1"/>
    <s v="Female"/>
    <s v="Electronic accessories"/>
    <n v="75.06"/>
    <n v="9"/>
    <n v="33.777000000000001"/>
    <x v="258"/>
    <d v="2019-03-19T00:00:00"/>
    <s v="1:25:00 PM"/>
    <s v="Ewallet"/>
    <n v="675.54"/>
    <n v="4.7619047620000003"/>
    <n v="33.777000000000001"/>
    <n v="6.2"/>
    <s v="March"/>
  </r>
  <r>
    <x v="261"/>
    <s v="Giza"/>
    <s v="Naypyitaw"/>
    <x v="1"/>
    <s v="Female"/>
    <s v="Fashion accessories"/>
    <n v="16.45"/>
    <n v="4"/>
    <n v="3.29"/>
    <x v="259"/>
    <d v="2019-03-07T00:00:00"/>
    <s v="2:53:00 PM"/>
    <s v="Ewallet"/>
    <n v="65.8"/>
    <n v="4.7619047620000003"/>
    <n v="3.29"/>
    <n v="5.6"/>
    <s v="March"/>
  </r>
  <r>
    <x v="262"/>
    <s v="Cairo"/>
    <s v="Mandalay"/>
    <x v="0"/>
    <s v="Female"/>
    <s v="Fashion accessories"/>
    <n v="38.299999999999997"/>
    <n v="4"/>
    <n v="7.66"/>
    <x v="260"/>
    <d v="2019-03-13T00:00:00"/>
    <s v="7:22:00 PM"/>
    <s v="Cash"/>
    <n v="153.19999999999999"/>
    <n v="4.7619047620000003"/>
    <n v="7.66"/>
    <n v="5.7"/>
    <s v="March"/>
  </r>
  <r>
    <x v="263"/>
    <s v="Alex"/>
    <s v="Yangon"/>
    <x v="0"/>
    <s v="Female"/>
    <s v="Sports and travel"/>
    <n v="22.24"/>
    <n v="10"/>
    <n v="11.12"/>
    <x v="261"/>
    <d v="2019-02-09T00:00:00"/>
    <s v="11:00:00 AM"/>
    <s v="Cash"/>
    <n v="222.4"/>
    <n v="4.7619047620000003"/>
    <n v="11.12"/>
    <n v="4.2"/>
    <s v="February"/>
  </r>
  <r>
    <x v="264"/>
    <s v="Cairo"/>
    <s v="Mandalay"/>
    <x v="1"/>
    <s v="Male"/>
    <s v="Sports and travel"/>
    <n v="54.45"/>
    <n v="1"/>
    <n v="2.7225000000000001"/>
    <x v="262"/>
    <d v="2019-02-26T00:00:00"/>
    <s v="7:24:00 PM"/>
    <s v="Ewallet"/>
    <n v="54.45"/>
    <n v="4.7619047620000003"/>
    <n v="2.7225000000000001"/>
    <n v="7.9"/>
    <s v="February"/>
  </r>
  <r>
    <x v="265"/>
    <s v="Alex"/>
    <s v="Yangon"/>
    <x v="0"/>
    <s v="Female"/>
    <s v="Sports and travel"/>
    <n v="98.4"/>
    <n v="7"/>
    <n v="34.44"/>
    <x v="263"/>
    <d v="2019-03-12T00:00:00"/>
    <s v="12:43:00 PM"/>
    <s v="Credit card"/>
    <n v="688.8"/>
    <n v="4.7619047620000003"/>
    <n v="34.44"/>
    <n v="8.6999999999999993"/>
    <s v="March"/>
  </r>
  <r>
    <x v="266"/>
    <s v="Giza"/>
    <s v="Naypyitaw"/>
    <x v="1"/>
    <s v="Male"/>
    <s v="Home and lifestyle"/>
    <n v="35.47"/>
    <n v="4"/>
    <n v="7.0940000000000003"/>
    <x v="264"/>
    <d v="2019-03-14T00:00:00"/>
    <s v="5:22:00 PM"/>
    <s v="Credit card"/>
    <n v="141.88"/>
    <n v="4.7619047620000003"/>
    <n v="7.0940000000000003"/>
    <n v="6.9"/>
    <s v="March"/>
  </r>
  <r>
    <x v="267"/>
    <s v="Cairo"/>
    <s v="Mandalay"/>
    <x v="0"/>
    <s v="Female"/>
    <s v="Food and beverages"/>
    <n v="74.599999999999994"/>
    <n v="10"/>
    <n v="37.299999999999997"/>
    <x v="265"/>
    <d v="2019-01-08T00:00:00"/>
    <s v="8:55:00 PM"/>
    <s v="Cash"/>
    <n v="746"/>
    <n v="4.7619047620000003"/>
    <n v="37.299999999999997"/>
    <n v="9.5"/>
    <s v="January"/>
  </r>
  <r>
    <x v="268"/>
    <s v="Alex"/>
    <s v="Yangon"/>
    <x v="0"/>
    <s v="Male"/>
    <s v="Home and lifestyle"/>
    <n v="70.739999999999995"/>
    <n v="4"/>
    <n v="14.148"/>
    <x v="266"/>
    <d v="2019-01-05T00:00:00"/>
    <s v="4:05:00 PM"/>
    <s v="Credit card"/>
    <n v="282.95999999999998"/>
    <n v="4.7619047620000003"/>
    <n v="14.148"/>
    <n v="4.4000000000000004"/>
    <s v="January"/>
  </r>
  <r>
    <x v="269"/>
    <s v="Alex"/>
    <s v="Yangon"/>
    <x v="0"/>
    <s v="Female"/>
    <s v="Home and lifestyle"/>
    <n v="35.54"/>
    <n v="10"/>
    <n v="17.77"/>
    <x v="267"/>
    <d v="2019-01-04T00:00:00"/>
    <s v="1:34:00 PM"/>
    <s v="Ewallet"/>
    <n v="355.4"/>
    <n v="4.7619047620000003"/>
    <n v="17.77"/>
    <n v="7"/>
    <s v="January"/>
  </r>
  <r>
    <x v="270"/>
    <s v="Cairo"/>
    <s v="Mandalay"/>
    <x v="1"/>
    <s v="Female"/>
    <s v="Sports and travel"/>
    <n v="67.430000000000007"/>
    <n v="5"/>
    <n v="16.857500000000002"/>
    <x v="268"/>
    <d v="2019-03-06T00:00:00"/>
    <s v="6:13:00 PM"/>
    <s v="Ewallet"/>
    <n v="337.15"/>
    <n v="4.7619047620000003"/>
    <n v="16.857500000000002"/>
    <n v="6.3"/>
    <s v="March"/>
  </r>
  <r>
    <x v="271"/>
    <s v="Giza"/>
    <s v="Naypyitaw"/>
    <x v="0"/>
    <s v="Female"/>
    <s v="Health and beauty"/>
    <n v="21.12"/>
    <n v="2"/>
    <n v="2.1120000000000001"/>
    <x v="269"/>
    <d v="2019-01-03T00:00:00"/>
    <s v="7:17:00 PM"/>
    <s v="Cash"/>
    <n v="42.24"/>
    <n v="4.7619047620000003"/>
    <n v="2.1120000000000001"/>
    <n v="9.6999999999999993"/>
    <s v="January"/>
  </r>
  <r>
    <x v="272"/>
    <s v="Alex"/>
    <s v="Yangon"/>
    <x v="0"/>
    <s v="Female"/>
    <s v="Home and lifestyle"/>
    <n v="21.54"/>
    <n v="9"/>
    <n v="9.6929999999999996"/>
    <x v="270"/>
    <d v="2019-01-07T00:00:00"/>
    <s v="11:44:00 AM"/>
    <s v="Credit card"/>
    <n v="193.86"/>
    <n v="4.7619047620000003"/>
    <n v="9.6929999999999996"/>
    <n v="8.8000000000000007"/>
    <s v="January"/>
  </r>
  <r>
    <x v="273"/>
    <s v="Alex"/>
    <s v="Yangon"/>
    <x v="1"/>
    <s v="Female"/>
    <s v="Home and lifestyle"/>
    <n v="12.03"/>
    <n v="2"/>
    <n v="1.2030000000000001"/>
    <x v="271"/>
    <d v="2019-01-27T00:00:00"/>
    <s v="3:51:00 PM"/>
    <s v="Cash"/>
    <n v="24.06"/>
    <n v="4.7619047620000003"/>
    <n v="1.2030000000000001"/>
    <n v="5.0999999999999996"/>
    <s v="January"/>
  </r>
  <r>
    <x v="274"/>
    <s v="Cairo"/>
    <s v="Mandalay"/>
    <x v="1"/>
    <s v="Female"/>
    <s v="Health and beauty"/>
    <n v="99.71"/>
    <n v="6"/>
    <n v="29.913"/>
    <x v="272"/>
    <d v="2019-02-26T00:00:00"/>
    <s v="4:52:00 PM"/>
    <s v="Ewallet"/>
    <n v="598.26"/>
    <n v="4.7619047620000003"/>
    <n v="29.913"/>
    <n v="7.9"/>
    <s v="February"/>
  </r>
  <r>
    <x v="275"/>
    <s v="Cairo"/>
    <s v="Mandalay"/>
    <x v="1"/>
    <s v="Male"/>
    <s v="Fashion accessories"/>
    <n v="47.97"/>
    <n v="7"/>
    <n v="16.7895"/>
    <x v="273"/>
    <d v="2019-01-07T00:00:00"/>
    <s v="8:52:00 PM"/>
    <s v="Cash"/>
    <n v="335.79"/>
    <n v="4.7619047620000003"/>
    <n v="16.7895"/>
    <n v="6.2"/>
    <s v="January"/>
  </r>
  <r>
    <x v="276"/>
    <s v="Giza"/>
    <s v="Naypyitaw"/>
    <x v="0"/>
    <s v="Female"/>
    <s v="Home and lifestyle"/>
    <n v="21.82"/>
    <n v="10"/>
    <n v="10.91"/>
    <x v="274"/>
    <d v="2019-01-07T00:00:00"/>
    <s v="5:36:00 PM"/>
    <s v="Cash"/>
    <n v="218.2"/>
    <n v="4.7619047620000003"/>
    <n v="10.91"/>
    <n v="7.1"/>
    <s v="January"/>
  </r>
  <r>
    <x v="277"/>
    <s v="Giza"/>
    <s v="Naypyitaw"/>
    <x v="1"/>
    <s v="Female"/>
    <s v="Fashion accessories"/>
    <n v="95.42"/>
    <n v="4"/>
    <n v="19.084"/>
    <x v="275"/>
    <d v="2019-02-02T00:00:00"/>
    <s v="1:23:00 PM"/>
    <s v="Ewallet"/>
    <n v="381.68"/>
    <n v="4.7619047620000003"/>
    <n v="19.084"/>
    <n v="6.4"/>
    <s v="February"/>
  </r>
  <r>
    <x v="278"/>
    <s v="Giza"/>
    <s v="Naypyitaw"/>
    <x v="0"/>
    <s v="Male"/>
    <s v="Fashion accessories"/>
    <n v="70.989999999999995"/>
    <n v="10"/>
    <n v="35.494999999999997"/>
    <x v="276"/>
    <d v="2019-03-20T00:00:00"/>
    <s v="4:28:00 PM"/>
    <s v="Cash"/>
    <n v="709.9"/>
    <n v="4.7619047620000003"/>
    <n v="35.494999999999997"/>
    <n v="5.7"/>
    <s v="March"/>
  </r>
  <r>
    <x v="279"/>
    <s v="Alex"/>
    <s v="Yangon"/>
    <x v="0"/>
    <s v="Male"/>
    <s v="Sports and travel"/>
    <n v="44.02"/>
    <n v="10"/>
    <n v="22.01"/>
    <x v="277"/>
    <d v="2019-03-20T00:00:00"/>
    <s v="7:57:00 PM"/>
    <s v="Credit card"/>
    <n v="440.2"/>
    <n v="4.7619047620000003"/>
    <n v="22.01"/>
    <n v="9.6"/>
    <s v="March"/>
  </r>
  <r>
    <x v="280"/>
    <s v="Alex"/>
    <s v="Yangon"/>
    <x v="1"/>
    <s v="Female"/>
    <s v="Home and lifestyle"/>
    <n v="69.959999999999994"/>
    <n v="8"/>
    <n v="27.984000000000002"/>
    <x v="278"/>
    <d v="2019-02-15T00:00:00"/>
    <s v="5:01:00 PM"/>
    <s v="Credit card"/>
    <n v="559.67999999999995"/>
    <n v="4.7619047620000003"/>
    <n v="27.984000000000002"/>
    <n v="6.4"/>
    <s v="February"/>
  </r>
  <r>
    <x v="281"/>
    <s v="Giza"/>
    <s v="Naypyitaw"/>
    <x v="1"/>
    <s v="Male"/>
    <s v="Home and lifestyle"/>
    <n v="37"/>
    <n v="1"/>
    <n v="1.85"/>
    <x v="279"/>
    <d v="2019-03-06T00:00:00"/>
    <s v="1:29:00 PM"/>
    <s v="Credit card"/>
    <n v="37"/>
    <n v="4.7619047620000003"/>
    <n v="1.85"/>
    <n v="7.9"/>
    <s v="March"/>
  </r>
  <r>
    <x v="282"/>
    <s v="Alex"/>
    <s v="Yangon"/>
    <x v="1"/>
    <s v="Female"/>
    <s v="Sports and travel"/>
    <n v="15.34"/>
    <n v="1"/>
    <n v="0.76700000000000002"/>
    <x v="280"/>
    <d v="2019-01-06T00:00:00"/>
    <s v="11:09:00 AM"/>
    <s v="Cash"/>
    <n v="15.34"/>
    <n v="4.7619047620000003"/>
    <n v="0.76700000000000002"/>
    <n v="6.5"/>
    <s v="January"/>
  </r>
  <r>
    <x v="283"/>
    <s v="Alex"/>
    <s v="Yangon"/>
    <x v="0"/>
    <s v="Male"/>
    <s v="Health and beauty"/>
    <n v="99.83"/>
    <n v="6"/>
    <n v="29.949000000000002"/>
    <x v="281"/>
    <d v="2019-03-04T00:00:00"/>
    <s v="3:02:00 PM"/>
    <s v="Ewallet"/>
    <n v="598.98"/>
    <n v="4.7619047620000003"/>
    <n v="29.949000000000002"/>
    <n v="8.5"/>
    <s v="March"/>
  </r>
  <r>
    <x v="284"/>
    <s v="Alex"/>
    <s v="Yangon"/>
    <x v="0"/>
    <s v="Female"/>
    <s v="Health and beauty"/>
    <n v="47.67"/>
    <n v="4"/>
    <n v="9.5340000000000007"/>
    <x v="282"/>
    <d v="2019-03-12T00:00:00"/>
    <s v="2:21:00 PM"/>
    <s v="Cash"/>
    <n v="190.68"/>
    <n v="4.7619047620000003"/>
    <n v="9.5340000000000007"/>
    <n v="9.1"/>
    <s v="March"/>
  </r>
  <r>
    <x v="285"/>
    <s v="Cairo"/>
    <s v="Mandalay"/>
    <x v="1"/>
    <s v="Male"/>
    <s v="Health and beauty"/>
    <n v="66.680000000000007"/>
    <n v="5"/>
    <n v="16.670000000000002"/>
    <x v="283"/>
    <d v="2019-02-20T00:00:00"/>
    <s v="6:01:00 PM"/>
    <s v="Cash"/>
    <n v="333.4"/>
    <n v="4.7619047620000003"/>
    <n v="16.670000000000002"/>
    <n v="7.6"/>
    <s v="February"/>
  </r>
  <r>
    <x v="286"/>
    <s v="Giza"/>
    <s v="Naypyitaw"/>
    <x v="0"/>
    <s v="Male"/>
    <s v="Home and lifestyle"/>
    <n v="74.86"/>
    <n v="1"/>
    <n v="3.7429999999999999"/>
    <x v="284"/>
    <d v="2019-03-24T00:00:00"/>
    <s v="2:49:00 PM"/>
    <s v="Cash"/>
    <n v="74.86"/>
    <n v="4.7619047620000003"/>
    <n v="3.7429999999999999"/>
    <n v="6.9"/>
    <s v="March"/>
  </r>
  <r>
    <x v="287"/>
    <s v="Giza"/>
    <s v="Naypyitaw"/>
    <x v="1"/>
    <s v="Female"/>
    <s v="Sports and travel"/>
    <n v="23.75"/>
    <n v="9"/>
    <n v="10.6875"/>
    <x v="285"/>
    <d v="2019-01-31T00:00:00"/>
    <s v="12:02:00 PM"/>
    <s v="Cash"/>
    <n v="213.75"/>
    <n v="4.7619047620000003"/>
    <n v="10.6875"/>
    <n v="9.5"/>
    <s v="January"/>
  </r>
  <r>
    <x v="288"/>
    <s v="Cairo"/>
    <s v="Mandalay"/>
    <x v="1"/>
    <s v="Female"/>
    <s v="Food and beverages"/>
    <n v="48.51"/>
    <n v="7"/>
    <n v="16.9785"/>
    <x v="286"/>
    <d v="2019-01-25T00:00:00"/>
    <s v="1:30:00 PM"/>
    <s v="Credit card"/>
    <n v="339.57"/>
    <n v="4.7619047620000003"/>
    <n v="16.9785"/>
    <n v="5.2"/>
    <s v="January"/>
  </r>
  <r>
    <x v="289"/>
    <s v="Alex"/>
    <s v="Yangon"/>
    <x v="0"/>
    <s v="Female"/>
    <s v="Home and lifestyle"/>
    <n v="94.88"/>
    <n v="7"/>
    <n v="33.207999999999998"/>
    <x v="287"/>
    <d v="2019-02-03T00:00:00"/>
    <s v="2:38:00 PM"/>
    <s v="Cash"/>
    <n v="664.16"/>
    <n v="4.7619047620000003"/>
    <n v="33.207999999999998"/>
    <n v="4.2"/>
    <s v="February"/>
  </r>
  <r>
    <x v="290"/>
    <s v="Cairo"/>
    <s v="Mandalay"/>
    <x v="0"/>
    <s v="Male"/>
    <s v="Electronic accessories"/>
    <n v="40.299999999999997"/>
    <n v="10"/>
    <n v="20.149999999999999"/>
    <x v="288"/>
    <d v="2019-01-24T00:00:00"/>
    <s v="5:37:00 PM"/>
    <s v="Credit card"/>
    <n v="403"/>
    <n v="4.7619047620000003"/>
    <n v="20.149999999999999"/>
    <n v="7"/>
    <s v="January"/>
  </r>
  <r>
    <x v="291"/>
    <s v="Giza"/>
    <s v="Naypyitaw"/>
    <x v="1"/>
    <s v="Male"/>
    <s v="Electronic accessories"/>
    <n v="27.85"/>
    <n v="7"/>
    <n v="9.7475000000000005"/>
    <x v="289"/>
    <d v="2019-03-14T00:00:00"/>
    <s v="5:20:00 PM"/>
    <s v="Ewallet"/>
    <n v="194.95"/>
    <n v="4.7619047620000003"/>
    <n v="9.7475000000000005"/>
    <n v="6"/>
    <s v="March"/>
  </r>
  <r>
    <x v="292"/>
    <s v="Alex"/>
    <s v="Yangon"/>
    <x v="0"/>
    <s v="Female"/>
    <s v="Electronic accessories"/>
    <n v="62.48"/>
    <n v="1"/>
    <n v="3.1240000000000001"/>
    <x v="290"/>
    <d v="2019-02-18T00:00:00"/>
    <s v="8:29:00 PM"/>
    <s v="Cash"/>
    <n v="62.48"/>
    <n v="4.7619047620000003"/>
    <n v="3.1240000000000001"/>
    <n v="4.7"/>
    <s v="February"/>
  </r>
  <r>
    <x v="293"/>
    <s v="Alex"/>
    <s v="Yangon"/>
    <x v="0"/>
    <s v="Female"/>
    <s v="Food and beverages"/>
    <n v="36.36"/>
    <n v="2"/>
    <n v="3.6360000000000001"/>
    <x v="291"/>
    <d v="2019-01-21T00:00:00"/>
    <s v="10:00:00 AM"/>
    <s v="Cash"/>
    <n v="72.72"/>
    <n v="4.7619047620000003"/>
    <n v="3.6360000000000001"/>
    <n v="7.1"/>
    <s v="January"/>
  </r>
  <r>
    <x v="294"/>
    <s v="Cairo"/>
    <s v="Mandalay"/>
    <x v="1"/>
    <s v="Male"/>
    <s v="Health and beauty"/>
    <n v="18.11"/>
    <n v="10"/>
    <n v="9.0549999999999997"/>
    <x v="292"/>
    <d v="2019-03-13T00:00:00"/>
    <s v="11:46:00 AM"/>
    <s v="Ewallet"/>
    <n v="181.1"/>
    <n v="4.7619047620000003"/>
    <n v="9.0549999999999997"/>
    <n v="5.9"/>
    <s v="March"/>
  </r>
  <r>
    <x v="295"/>
    <s v="Giza"/>
    <s v="Naypyitaw"/>
    <x v="0"/>
    <s v="Female"/>
    <s v="Electronic accessories"/>
    <n v="51.92"/>
    <n v="5"/>
    <n v="12.98"/>
    <x v="293"/>
    <d v="2019-03-03T00:00:00"/>
    <s v="1:42:00 PM"/>
    <s v="Cash"/>
    <n v="259.60000000000002"/>
    <n v="4.7619047620000003"/>
    <n v="12.98"/>
    <n v="7.5"/>
    <s v="March"/>
  </r>
  <r>
    <x v="296"/>
    <s v="Giza"/>
    <s v="Naypyitaw"/>
    <x v="1"/>
    <s v="Male"/>
    <s v="Electronic accessories"/>
    <n v="28.84"/>
    <n v="4"/>
    <n v="5.7679999999999998"/>
    <x v="294"/>
    <d v="2019-03-29T00:00:00"/>
    <s v="2:44:00 PM"/>
    <s v="Cash"/>
    <n v="115.36"/>
    <n v="4.7619047620000003"/>
    <n v="5.7679999999999998"/>
    <n v="6.4"/>
    <s v="March"/>
  </r>
  <r>
    <x v="297"/>
    <s v="Alex"/>
    <s v="Yangon"/>
    <x v="0"/>
    <s v="Male"/>
    <s v="Home and lifestyle"/>
    <n v="78.38"/>
    <n v="6"/>
    <n v="23.513999999999999"/>
    <x v="295"/>
    <d v="2019-01-10T00:00:00"/>
    <s v="2:16:00 PM"/>
    <s v="Ewallet"/>
    <n v="470.28"/>
    <n v="4.7619047620000003"/>
    <n v="23.513999999999999"/>
    <n v="5.8"/>
    <s v="January"/>
  </r>
  <r>
    <x v="298"/>
    <s v="Alex"/>
    <s v="Yangon"/>
    <x v="0"/>
    <s v="Male"/>
    <s v="Home and lifestyle"/>
    <n v="60.01"/>
    <n v="4"/>
    <n v="12.002000000000001"/>
    <x v="296"/>
    <d v="2019-01-25T00:00:00"/>
    <s v="3:54:00 PM"/>
    <s v="Cash"/>
    <n v="240.04"/>
    <n v="4.7619047620000003"/>
    <n v="12.002000000000001"/>
    <n v="4.5"/>
    <s v="January"/>
  </r>
  <r>
    <x v="299"/>
    <s v="Giza"/>
    <s v="Naypyitaw"/>
    <x v="0"/>
    <s v="Female"/>
    <s v="Home and lifestyle"/>
    <n v="88.61"/>
    <n v="1"/>
    <n v="4.4305000000000003"/>
    <x v="297"/>
    <d v="2019-01-19T00:00:00"/>
    <s v="10:21:00 AM"/>
    <s v="Cash"/>
    <n v="88.61"/>
    <n v="4.7619047620000003"/>
    <n v="4.4305000000000003"/>
    <n v="7.7"/>
    <s v="January"/>
  </r>
  <r>
    <x v="300"/>
    <m/>
    <m/>
    <x v="2"/>
    <m/>
    <m/>
    <m/>
    <m/>
    <m/>
    <x v="298"/>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rowHeaderCaption="Customer invoice id">
  <location ref="A78:B89" firstHeaderRow="1" firstDataRow="1" firstDataCol="1"/>
  <pivotFields count="18">
    <pivotField axis="axisRow" showAll="0" measureFilter="1" sortType="descending">
      <items count="302">
        <item x="162"/>
        <item x="169"/>
        <item x="56"/>
        <item x="67"/>
        <item x="255"/>
        <item x="59"/>
        <item x="3"/>
        <item x="272"/>
        <item x="36"/>
        <item x="180"/>
        <item x="45"/>
        <item x="280"/>
        <item x="290"/>
        <item x="177"/>
        <item x="212"/>
        <item x="242"/>
        <item x="268"/>
        <item x="28"/>
        <item x="31"/>
        <item x="258"/>
        <item x="93"/>
        <item x="264"/>
        <item x="234"/>
        <item x="51"/>
        <item x="100"/>
        <item x="176"/>
        <item x="34"/>
        <item x="127"/>
        <item x="27"/>
        <item x="101"/>
        <item x="130"/>
        <item x="63"/>
        <item x="111"/>
        <item x="295"/>
        <item x="236"/>
        <item x="103"/>
        <item x="224"/>
        <item x="153"/>
        <item x="243"/>
        <item x="122"/>
        <item x="91"/>
        <item x="115"/>
        <item x="1"/>
        <item x="287"/>
        <item x="25"/>
        <item x="112"/>
        <item x="43"/>
        <item x="68"/>
        <item x="35"/>
        <item x="166"/>
        <item x="114"/>
        <item x="149"/>
        <item x="144"/>
        <item x="220"/>
        <item x="138"/>
        <item x="54"/>
        <item x="170"/>
        <item x="13"/>
        <item x="265"/>
        <item x="148"/>
        <item x="76"/>
        <item x="207"/>
        <item x="124"/>
        <item x="233"/>
        <item x="37"/>
        <item x="22"/>
        <item x="161"/>
        <item x="292"/>
        <item x="223"/>
        <item x="156"/>
        <item x="141"/>
        <item x="40"/>
        <item x="288"/>
        <item x="190"/>
        <item x="60"/>
        <item x="192"/>
        <item x="74"/>
        <item x="230"/>
        <item x="253"/>
        <item x="116"/>
        <item x="15"/>
        <item x="20"/>
        <item x="186"/>
        <item x="298"/>
        <item x="157"/>
        <item x="7"/>
        <item x="171"/>
        <item x="293"/>
        <item x="89"/>
        <item x="19"/>
        <item x="217"/>
        <item x="50"/>
        <item x="18"/>
        <item x="38"/>
        <item x="123"/>
        <item x="142"/>
        <item x="179"/>
        <item x="238"/>
        <item x="62"/>
        <item x="10"/>
        <item x="42"/>
        <item x="137"/>
        <item x="6"/>
        <item x="84"/>
        <item x="86"/>
        <item x="12"/>
        <item x="256"/>
        <item x="46"/>
        <item x="21"/>
        <item x="4"/>
        <item x="244"/>
        <item x="277"/>
        <item x="119"/>
        <item x="259"/>
        <item x="77"/>
        <item x="69"/>
        <item x="222"/>
        <item x="70"/>
        <item x="204"/>
        <item x="55"/>
        <item x="188"/>
        <item x="154"/>
        <item x="178"/>
        <item x="174"/>
        <item x="232"/>
        <item x="199"/>
        <item x="159"/>
        <item x="163"/>
        <item x="202"/>
        <item x="289"/>
        <item x="181"/>
        <item x="191"/>
        <item x="263"/>
        <item x="241"/>
        <item x="145"/>
        <item x="228"/>
        <item x="221"/>
        <item x="274"/>
        <item x="239"/>
        <item x="110"/>
        <item x="82"/>
        <item x="134"/>
        <item x="143"/>
        <item x="282"/>
        <item x="285"/>
        <item x="88"/>
        <item x="165"/>
        <item x="72"/>
        <item x="94"/>
        <item x="281"/>
        <item x="276"/>
        <item x="11"/>
        <item x="245"/>
        <item x="278"/>
        <item x="240"/>
        <item x="201"/>
        <item x="231"/>
        <item x="164"/>
        <item x="218"/>
        <item x="24"/>
        <item x="129"/>
        <item x="102"/>
        <item x="41"/>
        <item x="195"/>
        <item x="291"/>
        <item x="216"/>
        <item x="284"/>
        <item x="90"/>
        <item x="275"/>
        <item x="147"/>
        <item x="267"/>
        <item x="208"/>
        <item x="49"/>
        <item x="139"/>
        <item x="227"/>
        <item x="151"/>
        <item x="294"/>
        <item x="184"/>
        <item x="108"/>
        <item x="133"/>
        <item x="189"/>
        <item x="286"/>
        <item x="95"/>
        <item x="33"/>
        <item x="135"/>
        <item x="247"/>
        <item x="200"/>
        <item x="173"/>
        <item x="150"/>
        <item x="52"/>
        <item x="44"/>
        <item x="106"/>
        <item x="107"/>
        <item x="2"/>
        <item x="87"/>
        <item x="273"/>
        <item x="57"/>
        <item x="23"/>
        <item x="120"/>
        <item x="32"/>
        <item x="193"/>
        <item x="118"/>
        <item x="113"/>
        <item x="235"/>
        <item x="26"/>
        <item x="262"/>
        <item x="213"/>
        <item x="16"/>
        <item x="121"/>
        <item x="117"/>
        <item x="251"/>
        <item x="128"/>
        <item x="8"/>
        <item x="283"/>
        <item x="125"/>
        <item x="48"/>
        <item x="206"/>
        <item x="211"/>
        <item x="146"/>
        <item x="271"/>
        <item x="167"/>
        <item x="9"/>
        <item x="132"/>
        <item x="198"/>
        <item x="5"/>
        <item x="136"/>
        <item x="254"/>
        <item x="105"/>
        <item x="104"/>
        <item x="229"/>
        <item x="47"/>
        <item x="296"/>
        <item x="257"/>
        <item x="85"/>
        <item x="269"/>
        <item x="140"/>
        <item x="187"/>
        <item x="75"/>
        <item x="99"/>
        <item x="172"/>
        <item x="158"/>
        <item x="297"/>
        <item x="225"/>
        <item x="152"/>
        <item x="205"/>
        <item x="0"/>
        <item x="237"/>
        <item x="79"/>
        <item x="17"/>
        <item x="96"/>
        <item x="39"/>
        <item x="53"/>
        <item x="299"/>
        <item x="155"/>
        <item x="270"/>
        <item x="249"/>
        <item x="83"/>
        <item x="219"/>
        <item x="71"/>
        <item x="168"/>
        <item x="248"/>
        <item x="215"/>
        <item x="131"/>
        <item x="61"/>
        <item x="266"/>
        <item x="58"/>
        <item x="209"/>
        <item x="261"/>
        <item x="183"/>
        <item x="175"/>
        <item x="279"/>
        <item x="14"/>
        <item x="78"/>
        <item x="194"/>
        <item x="226"/>
        <item x="66"/>
        <item x="73"/>
        <item x="250"/>
        <item x="81"/>
        <item x="196"/>
        <item x="29"/>
        <item x="260"/>
        <item x="182"/>
        <item x="64"/>
        <item x="197"/>
        <item x="109"/>
        <item x="98"/>
        <item x="246"/>
        <item x="126"/>
        <item x="80"/>
        <item x="97"/>
        <item x="30"/>
        <item x="92"/>
        <item x="203"/>
        <item x="65"/>
        <item x="252"/>
        <item x="210"/>
        <item x="214"/>
        <item x="160"/>
        <item x="185"/>
        <item x="300"/>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1"/>
        <item x="2"/>
        <item t="default"/>
      </items>
    </pivotField>
    <pivotField showAll="0"/>
    <pivotField showAll="0"/>
    <pivotField showAll="0"/>
    <pivotField showAll="0"/>
    <pivotField showAll="0"/>
    <pivotField dataField="1" showAll="0" measureFilter="1">
      <items count="300">
        <item x="221"/>
        <item x="280"/>
        <item x="53"/>
        <item x="213"/>
        <item x="69"/>
        <item x="271"/>
        <item x="196"/>
        <item x="250"/>
        <item x="142"/>
        <item x="44"/>
        <item x="229"/>
        <item x="54"/>
        <item x="109"/>
        <item x="26"/>
        <item x="279"/>
        <item x="269"/>
        <item x="87"/>
        <item x="99"/>
        <item x="116"/>
        <item x="184"/>
        <item x="262"/>
        <item x="10"/>
        <item x="220"/>
        <item x="290"/>
        <item x="160"/>
        <item x="259"/>
        <item x="236"/>
        <item x="254"/>
        <item x="22"/>
        <item x="66"/>
        <item x="35"/>
        <item x="52"/>
        <item x="155"/>
        <item x="8"/>
        <item x="291"/>
        <item x="187"/>
        <item x="60"/>
        <item x="194"/>
        <item x="96"/>
        <item x="284"/>
        <item x="1"/>
        <item x="19"/>
        <item x="114"/>
        <item x="183"/>
        <item x="222"/>
        <item x="40"/>
        <item x="234"/>
        <item x="195"/>
        <item x="297"/>
        <item x="56"/>
        <item x="203"/>
        <item x="237"/>
        <item x="245"/>
        <item x="93"/>
        <item x="207"/>
        <item x="251"/>
        <item x="94"/>
        <item x="152"/>
        <item x="78"/>
        <item x="11"/>
        <item x="192"/>
        <item x="118"/>
        <item x="117"/>
        <item x="115"/>
        <item x="41"/>
        <item x="48"/>
        <item x="199"/>
        <item x="294"/>
        <item x="239"/>
        <item x="214"/>
        <item x="256"/>
        <item x="253"/>
        <item x="135"/>
        <item x="212"/>
        <item x="131"/>
        <item x="264"/>
        <item x="72"/>
        <item x="190"/>
        <item x="225"/>
        <item x="162"/>
        <item x="260"/>
        <item x="91"/>
        <item x="81"/>
        <item x="181"/>
        <item x="255"/>
        <item x="176"/>
        <item x="63"/>
        <item x="97"/>
        <item x="173"/>
        <item x="65"/>
        <item x="125"/>
        <item x="228"/>
        <item x="193"/>
        <item x="18"/>
        <item x="105"/>
        <item x="9"/>
        <item x="197"/>
        <item x="171"/>
        <item x="217"/>
        <item x="23"/>
        <item x="223"/>
        <item x="27"/>
        <item x="175"/>
        <item x="47"/>
        <item x="292"/>
        <item x="59"/>
        <item x="186"/>
        <item x="233"/>
        <item x="240"/>
        <item x="89"/>
        <item x="282"/>
        <item x="33"/>
        <item x="270"/>
        <item x="289"/>
        <item x="136"/>
        <item x="204"/>
        <item x="101"/>
        <item x="103"/>
        <item x="285"/>
        <item x="274"/>
        <item x="235"/>
        <item x="261"/>
        <item x="51"/>
        <item x="29"/>
        <item x="238"/>
        <item x="200"/>
        <item x="189"/>
        <item x="12"/>
        <item x="209"/>
        <item x="296"/>
        <item x="39"/>
        <item x="150"/>
        <item x="244"/>
        <item x="83"/>
        <item x="241"/>
        <item x="156"/>
        <item x="202"/>
        <item x="293"/>
        <item x="148"/>
        <item x="178"/>
        <item x="257"/>
        <item x="21"/>
        <item x="146"/>
        <item x="24"/>
        <item x="134"/>
        <item x="218"/>
        <item x="182"/>
        <item x="129"/>
        <item x="144"/>
        <item x="188"/>
        <item x="266"/>
        <item x="215"/>
        <item x="206"/>
        <item x="126"/>
        <item x="80"/>
        <item x="110"/>
        <item x="231"/>
        <item x="145"/>
        <item x="64"/>
        <item x="174"/>
        <item x="107"/>
        <item x="167"/>
        <item x="180"/>
        <item x="246"/>
        <item x="36"/>
        <item x="172"/>
        <item x="161"/>
        <item x="82"/>
        <item x="2"/>
        <item x="283"/>
        <item x="61"/>
        <item x="273"/>
        <item x="268"/>
        <item x="286"/>
        <item x="164"/>
        <item x="159"/>
        <item x="86"/>
        <item x="102"/>
        <item x="169"/>
        <item x="249"/>
        <item x="267"/>
        <item x="198"/>
        <item x="149"/>
        <item x="106"/>
        <item x="45"/>
        <item x="243"/>
        <item x="275"/>
        <item x="85"/>
        <item x="34"/>
        <item x="163"/>
        <item x="120"/>
        <item x="170"/>
        <item x="288"/>
        <item x="6"/>
        <item x="42"/>
        <item x="75"/>
        <item x="248"/>
        <item x="25"/>
        <item x="201"/>
        <item x="20"/>
        <item x="13"/>
        <item x="219"/>
        <item x="17"/>
        <item x="38"/>
        <item x="277"/>
        <item x="76"/>
        <item x="28"/>
        <item x="177"/>
        <item x="90"/>
        <item x="179"/>
        <item x="123"/>
        <item x="73"/>
        <item x="154"/>
        <item x="211"/>
        <item x="88"/>
        <item x="3"/>
        <item x="143"/>
        <item x="295"/>
        <item x="30"/>
        <item x="252"/>
        <item x="16"/>
        <item x="168"/>
        <item x="133"/>
        <item x="62"/>
        <item x="98"/>
        <item x="227"/>
        <item x="111"/>
        <item x="46"/>
        <item x="122"/>
        <item x="247"/>
        <item x="137"/>
        <item x="232"/>
        <item x="112"/>
        <item x="0"/>
        <item x="132"/>
        <item x="226"/>
        <item x="37"/>
        <item x="127"/>
        <item x="130"/>
        <item x="278"/>
        <item x="158"/>
        <item x="15"/>
        <item x="147"/>
        <item x="92"/>
        <item x="138"/>
        <item x="84"/>
        <item x="67"/>
        <item x="79"/>
        <item x="5"/>
        <item x="272"/>
        <item x="281"/>
        <item x="205"/>
        <item x="4"/>
        <item x="71"/>
        <item x="224"/>
        <item x="50"/>
        <item x="153"/>
        <item x="124"/>
        <item x="287"/>
        <item x="32"/>
        <item x="74"/>
        <item x="258"/>
        <item x="141"/>
        <item x="55"/>
        <item x="263"/>
        <item x="31"/>
        <item x="100"/>
        <item x="276"/>
        <item x="14"/>
        <item x="57"/>
        <item x="58"/>
        <item x="113"/>
        <item x="7"/>
        <item x="265"/>
        <item x="151"/>
        <item x="242"/>
        <item x="185"/>
        <item x="230"/>
        <item x="216"/>
        <item x="77"/>
        <item x="68"/>
        <item x="43"/>
        <item x="191"/>
        <item x="119"/>
        <item x="128"/>
        <item x="108"/>
        <item x="49"/>
        <item x="210"/>
        <item x="157"/>
        <item x="95"/>
        <item x="104"/>
        <item x="70"/>
        <item x="208"/>
        <item x="139"/>
        <item x="121"/>
        <item x="140"/>
        <item x="165"/>
        <item x="166"/>
        <item x="298"/>
        <item t="default"/>
      </items>
    </pivotField>
    <pivotField showAll="0"/>
    <pivotField showAll="0"/>
    <pivotField showAll="0"/>
    <pivotField showAll="0"/>
    <pivotField showAll="0"/>
    <pivotField showAll="0"/>
    <pivotField showAll="0"/>
    <pivotField showAll="0"/>
  </pivotFields>
  <rowFields count="1">
    <field x="0"/>
  </rowFields>
  <rowItems count="11">
    <i>
      <x v="220"/>
    </i>
    <i>
      <x v="49"/>
    </i>
    <i>
      <x v="70"/>
    </i>
    <i>
      <x v="39"/>
    </i>
    <i>
      <x v="235"/>
    </i>
    <i>
      <x v="266"/>
    </i>
    <i>
      <x v="117"/>
    </i>
    <i>
      <x v="227"/>
    </i>
    <i>
      <x v="249"/>
    </i>
    <i>
      <x v="240"/>
    </i>
    <i t="grand">
      <x/>
    </i>
  </rowItems>
  <colItems count="1">
    <i/>
  </colItems>
  <dataFields count="1">
    <dataField name="Sum of Sales" fld="9" baseField="0" baseItem="255"/>
  </dataFields>
  <formats count="6">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outline="0" axis="axisValues" fieldPosition="0"/>
    </format>
    <format dxfId="1">
      <pivotArea dataOnly="0" labelOnly="1" fieldPosition="0">
        <references count="1">
          <reference field="0" count="10">
            <x v="39"/>
            <x v="49"/>
            <x v="70"/>
            <x v="117"/>
            <x v="220"/>
            <x v="227"/>
            <x v="235"/>
            <x v="240"/>
            <x v="249"/>
            <x v="266"/>
          </reference>
        </references>
      </pivotArea>
    </format>
    <format dxfId="0">
      <pivotArea dataOnly="0" labelOnly="1" grandRow="1" outline="0" fieldPosition="0"/>
    </format>
  </formats>
  <chartFormats count="1">
    <chartFormat chart="0"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filters count="2">
    <filter fld="0" type="count" evalOrder="-1" id="5" iMeasureFld="0">
      <autoFilter ref="A1">
        <filterColumn colId="0">
          <top10 val="10" filterVal="10"/>
        </filterColumn>
      </autoFilter>
    </filter>
    <filter fld="9"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rowHeaderCaption="Product_line">
  <location ref="A60:B66" firstHeaderRow="1" firstDataRow="1" firstDataCol="1"/>
  <pivotFields count="18">
    <pivotField showAll="0"/>
    <pivotField showAll="0">
      <items count="6">
        <item x="0"/>
        <item x="2"/>
        <item x="1"/>
        <item f="1" x="3"/>
        <item f="1" x="4"/>
        <item t="default"/>
      </items>
    </pivotField>
    <pivotField showAll="0"/>
    <pivotField showAll="0"/>
    <pivotField showAll="0"/>
    <pivotField axis="axisRow" showAll="0" sortType="descending">
      <items count="7">
        <item x="1"/>
        <item x="5"/>
        <item x="4"/>
        <item x="0"/>
        <item x="2"/>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64" showAll="0"/>
    <pivotField showAll="0"/>
    <pivotField showAll="0"/>
    <pivotField showAll="0"/>
    <pivotField showAll="0"/>
    <pivotField showAll="0"/>
    <pivotField showAll="0"/>
    <pivotField showAll="0"/>
  </pivotFields>
  <rowFields count="1">
    <field x="5"/>
  </rowFields>
  <rowItems count="6">
    <i>
      <x v="4"/>
    </i>
    <i>
      <x v="3"/>
    </i>
    <i>
      <x v="2"/>
    </i>
    <i>
      <x/>
    </i>
    <i>
      <x v="1"/>
    </i>
    <i t="grand">
      <x/>
    </i>
  </rowItems>
  <colItems count="1">
    <i/>
  </colItems>
  <dataFields count="1">
    <dataField name="Sum of Sales" fld="9" baseField="0" baseItem="0" numFmtId="2"/>
  </dataFields>
  <formats count="1">
    <format dxfId="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4" rowHeaderCaption="Month">
  <location ref="A41:B45" firstHeaderRow="1" firstDataRow="1" firstDataCol="1"/>
  <pivotFields count="18">
    <pivotField showAll="0"/>
    <pivotField showAll="0">
      <items count="6">
        <item x="0"/>
        <item x="2"/>
        <item x="1"/>
        <item f="1" x="3"/>
        <item f="1" x="4"/>
        <item t="default"/>
      </items>
    </pivotField>
    <pivotField showAll="0"/>
    <pivotField showAll="0"/>
    <pivotField showAll="0"/>
    <pivotField showAll="0"/>
    <pivotField showAll="0"/>
    <pivotField showAll="0"/>
    <pivotField showAll="0"/>
    <pivotField dataField="1" showAll="0"/>
    <pivotField numFmtId="164" showAll="0"/>
    <pivotField showAll="0"/>
    <pivotField showAll="0"/>
    <pivotField showAll="0"/>
    <pivotField showAll="0"/>
    <pivotField showAll="0"/>
    <pivotField showAll="0"/>
    <pivotField axis="axisRow" showAll="0">
      <items count="4">
        <item x="0"/>
        <item x="2"/>
        <item x="1"/>
        <item t="default"/>
      </items>
    </pivotField>
  </pivotFields>
  <rowFields count="1">
    <field x="17"/>
  </rowFields>
  <rowItems count="4">
    <i>
      <x/>
    </i>
    <i>
      <x v="1"/>
    </i>
    <i>
      <x v="2"/>
    </i>
    <i t="grand">
      <x/>
    </i>
  </rowItems>
  <colItems count="1">
    <i/>
  </colItems>
  <dataFields count="1">
    <dataField name="Sum of Sales" fld="9" baseField="0" baseItem="0" numFmtId="2"/>
  </dataFields>
  <formats count="1">
    <format dxfId="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rowHeaderCaption="Branch">
  <location ref="A3:B7" firstHeaderRow="1" firstDataRow="1" firstDataCol="1"/>
  <pivotFields count="18">
    <pivotField showAll="0"/>
    <pivotField axis="axisRow" showAll="0">
      <items count="6">
        <item x="0"/>
        <item n="dfsgfd" h="1" f="1" x="3"/>
        <item h="1" f="1" x="4"/>
        <item x="2"/>
        <item x="1"/>
        <item t="default"/>
      </items>
    </pivotField>
    <pivotField showAll="0"/>
    <pivotField showAll="0"/>
    <pivotField showAll="0"/>
    <pivotField showAll="0"/>
    <pivotField showAll="0"/>
    <pivotField showAll="0"/>
    <pivotField showAll="0"/>
    <pivotField dataField="1" showAll="0"/>
    <pivotField numFmtId="164" showAll="0"/>
    <pivotField showAll="0"/>
    <pivotField showAll="0"/>
    <pivotField showAll="0"/>
    <pivotField showAll="0"/>
    <pivotField showAll="0"/>
    <pivotField showAll="0"/>
    <pivotField showAll="0"/>
  </pivotFields>
  <rowFields count="1">
    <field x="1"/>
  </rowFields>
  <rowItems count="4">
    <i>
      <x/>
    </i>
    <i>
      <x v="3"/>
    </i>
    <i>
      <x v="4"/>
    </i>
    <i t="grand">
      <x/>
    </i>
  </rowItems>
  <colItems count="1">
    <i/>
  </colItems>
  <dataFields count="1">
    <dataField name="Sum of Sales" fld="9" baseField="0" baseItem="0" numFmtId="2"/>
  </dataFields>
  <formats count="10">
    <format dxfId="19">
      <pivotArea outline="0" collapsedLevelsAreSubtotals="1" fieldPosition="0"/>
    </format>
    <format dxfId="16">
      <pivotArea type="all" dataOnly="0" outline="0" fieldPosition="0"/>
    </format>
    <format dxfId="15">
      <pivotArea outline="0" collapsedLevelsAreSubtotals="1" fieldPosition="0"/>
    </format>
    <format dxfId="14">
      <pivotArea field="1" type="button" dataOnly="0" labelOnly="1" outline="0" axis="axisRow" fieldPosition="0"/>
    </format>
    <format dxfId="13">
      <pivotArea dataOnly="0" labelOnly="1" outline="0" axis="axisValues" fieldPosition="0"/>
    </format>
    <format dxfId="12">
      <pivotArea dataOnly="0" labelOnly="1" fieldPosition="0">
        <references count="1">
          <reference field="1" count="0"/>
        </references>
      </pivotArea>
    </format>
    <format dxfId="11">
      <pivotArea dataOnly="0" labelOnly="1" grandRow="1" outline="0" fieldPosition="0"/>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6" rowHeaderCaption="Product Line">
  <location ref="A22:B29" firstHeaderRow="1" firstDataRow="1" firstDataCol="1"/>
  <pivotFields count="18">
    <pivotField showAll="0"/>
    <pivotField showAll="0">
      <items count="6">
        <item x="0"/>
        <item x="2"/>
        <item x="1"/>
        <item f="1" x="3"/>
        <item f="1" x="4"/>
        <item t="default"/>
      </items>
    </pivotField>
    <pivotField showAll="0"/>
    <pivotField showAll="0"/>
    <pivotField showAll="0"/>
    <pivotField axis="axisRow" showAll="0">
      <items count="7">
        <item x="1"/>
        <item x="5"/>
        <item x="4"/>
        <item x="0"/>
        <item x="2"/>
        <item x="3"/>
        <item t="default"/>
      </items>
    </pivotField>
    <pivotField showAll="0"/>
    <pivotField showAll="0"/>
    <pivotField showAll="0"/>
    <pivotField showAll="0"/>
    <pivotField numFmtId="164" showAll="0"/>
    <pivotField showAll="0"/>
    <pivotField showAll="0"/>
    <pivotField showAll="0"/>
    <pivotField showAll="0"/>
    <pivotField dataField="1" showAll="0"/>
    <pivotField showAll="0"/>
    <pivotField showAll="0"/>
  </pivotFields>
  <rowFields count="1">
    <field x="5"/>
  </rowFields>
  <rowItems count="7">
    <i>
      <x/>
    </i>
    <i>
      <x v="1"/>
    </i>
    <i>
      <x v="2"/>
    </i>
    <i>
      <x v="3"/>
    </i>
    <i>
      <x v="4"/>
    </i>
    <i>
      <x v="5"/>
    </i>
    <i t="grand">
      <x/>
    </i>
  </rowItems>
  <colItems count="1">
    <i/>
  </colItems>
  <dataFields count="1">
    <dataField name="Sum of gross_income" fld="15" baseField="0" baseItem="0"/>
  </dataFields>
  <formats count="1">
    <format dxfId="17">
      <pivotArea collapsedLevelsAreSubtotals="1" fieldPosition="0">
        <references count="1">
          <reference field="5" count="1">
            <x v="4"/>
          </reference>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1" rowHeaderCaption="Product_line">
  <location ref="A3:B9" firstHeaderRow="1" firstDataRow="1" firstDataCol="1"/>
  <pivotFields count="18">
    <pivotField showAll="0"/>
    <pivotField showAll="0">
      <items count="6">
        <item x="0"/>
        <item x="2"/>
        <item x="1"/>
        <item f="1" x="3"/>
        <item f="1" x="4"/>
        <item t="default"/>
      </items>
    </pivotField>
    <pivotField showAll="0"/>
    <pivotField showAll="0"/>
    <pivotField showAll="0"/>
    <pivotField axis="axisRow" showAll="0" sortType="descending">
      <items count="7">
        <item x="1"/>
        <item x="5"/>
        <item x="4"/>
        <item x="0"/>
        <item x="2"/>
        <item h="1"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64" showAll="0"/>
    <pivotField showAll="0"/>
    <pivotField showAll="0"/>
    <pivotField showAll="0"/>
    <pivotField showAll="0"/>
    <pivotField showAll="0"/>
    <pivotField showAll="0"/>
    <pivotField showAll="0"/>
  </pivotFields>
  <rowFields count="1">
    <field x="5"/>
  </rowFields>
  <rowItems count="6">
    <i>
      <x v="4"/>
    </i>
    <i>
      <x v="3"/>
    </i>
    <i>
      <x v="2"/>
    </i>
    <i>
      <x/>
    </i>
    <i>
      <x v="1"/>
    </i>
    <i t="grand">
      <x/>
    </i>
  </rowItems>
  <colItems count="1">
    <i/>
  </colItems>
  <dataFields count="1">
    <dataField name="Sum of Sales" fld="9" baseField="0" baseItem="0" numFmtId="2"/>
  </dataFields>
  <formats count="1">
    <format dxfId="1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2"/>
  <sheetViews>
    <sheetView workbookViewId="0">
      <selection activeCell="O2" sqref="O2"/>
    </sheetView>
  </sheetViews>
  <sheetFormatPr defaultRowHeight="15" x14ac:dyDescent="0.25"/>
  <cols>
    <col min="1" max="1" width="18.85546875" customWidth="1"/>
    <col min="2" max="2" width="12.140625" customWidth="1"/>
    <col min="3" max="3" width="7" customWidth="1"/>
    <col min="4" max="4" width="8" customWidth="1"/>
    <col min="5" max="5" width="7" customWidth="1"/>
    <col min="6" max="6" width="8" customWidth="1"/>
    <col min="7" max="7" width="7" customWidth="1"/>
    <col min="8" max="8" width="8" customWidth="1"/>
    <col min="9" max="9" width="7" customWidth="1"/>
    <col min="10" max="10" width="8" customWidth="1"/>
    <col min="11" max="11" width="7" customWidth="1"/>
    <col min="12" max="12" width="8" customWidth="1"/>
    <col min="13" max="15" width="7" customWidth="1"/>
    <col min="16" max="16" width="6" customWidth="1"/>
    <col min="17" max="17" width="7" customWidth="1"/>
    <col min="18" max="19" width="8" customWidth="1"/>
    <col min="20" max="21" width="7" customWidth="1"/>
    <col min="22" max="22" width="8" customWidth="1"/>
    <col min="23" max="23" width="7" customWidth="1"/>
    <col min="24" max="24" width="8" customWidth="1"/>
    <col min="25" max="25" width="7" customWidth="1"/>
    <col min="26" max="26" width="8" customWidth="1"/>
    <col min="27" max="27" width="6" customWidth="1"/>
    <col min="28" max="28" width="7" customWidth="1"/>
    <col min="29" max="29" width="8" customWidth="1"/>
    <col min="30" max="30" width="6" customWidth="1"/>
    <col min="31" max="33" width="7" customWidth="1"/>
    <col min="34" max="34" width="8" customWidth="1"/>
    <col min="35" max="36" width="7" customWidth="1"/>
    <col min="37" max="37" width="8" customWidth="1"/>
    <col min="38" max="38" width="7" customWidth="1"/>
    <col min="39" max="39" width="8" customWidth="1"/>
    <col min="40" max="41" width="7" customWidth="1"/>
    <col min="42" max="43" width="6" customWidth="1"/>
    <col min="44" max="47" width="7" customWidth="1"/>
    <col min="48" max="48" width="8" customWidth="1"/>
    <col min="49" max="49" width="6" customWidth="1"/>
    <col min="50" max="50" width="8" customWidth="1"/>
    <col min="51" max="51" width="7" customWidth="1"/>
    <col min="52" max="53" width="8" customWidth="1"/>
    <col min="54" max="54" width="7" customWidth="1"/>
    <col min="55" max="56" width="8" customWidth="1"/>
    <col min="57" max="57" width="6" customWidth="1"/>
    <col min="58" max="61" width="8" customWidth="1"/>
    <col min="62" max="62" width="7" customWidth="1"/>
    <col min="63" max="63" width="8" customWidth="1"/>
    <col min="64" max="64" width="7" customWidth="1"/>
    <col min="65" max="70" width="8" customWidth="1"/>
    <col min="71" max="71" width="9" customWidth="1"/>
    <col min="72" max="72" width="7" customWidth="1"/>
    <col min="73" max="73" width="8" customWidth="1"/>
    <col min="74" max="74" width="9" customWidth="1"/>
    <col min="75" max="80" width="8" customWidth="1"/>
    <col min="81" max="82" width="7" customWidth="1"/>
    <col min="83" max="83" width="8" customWidth="1"/>
    <col min="84" max="84" width="6" customWidth="1"/>
    <col min="85" max="85" width="7" customWidth="1"/>
    <col min="86" max="86" width="8" customWidth="1"/>
    <col min="87" max="87" width="9" customWidth="1"/>
    <col min="88" max="88" width="8" customWidth="1"/>
    <col min="89" max="89" width="9" customWidth="1"/>
    <col min="90" max="91" width="8" customWidth="1"/>
    <col min="92" max="92" width="9" customWidth="1"/>
    <col min="93" max="93" width="8" customWidth="1"/>
    <col min="94" max="95" width="9" customWidth="1"/>
    <col min="96" max="97" width="8" customWidth="1"/>
    <col min="98" max="98" width="6" customWidth="1"/>
    <col min="99" max="99" width="7" customWidth="1"/>
    <col min="100" max="100" width="8" customWidth="1"/>
    <col min="101" max="101" width="7" customWidth="1"/>
    <col min="102" max="104" width="8" customWidth="1"/>
    <col min="105" max="105" width="9" customWidth="1"/>
    <col min="106" max="109" width="8" customWidth="1"/>
    <col min="110" max="110" width="7" customWidth="1"/>
    <col min="111" max="114" width="8" customWidth="1"/>
    <col min="115" max="115" width="9" customWidth="1"/>
    <col min="116" max="116" width="8" customWidth="1"/>
    <col min="117" max="120" width="9" customWidth="1"/>
    <col min="121" max="121" width="7" customWidth="1"/>
    <col min="122" max="122" width="8" customWidth="1"/>
    <col min="123" max="123" width="7" customWidth="1"/>
    <col min="124" max="125" width="9" customWidth="1"/>
    <col min="126" max="128" width="8" customWidth="1"/>
    <col min="129" max="130" width="9" customWidth="1"/>
    <col min="131" max="133" width="8" customWidth="1"/>
    <col min="134" max="134" width="7" customWidth="1"/>
    <col min="135" max="135" width="9" customWidth="1"/>
    <col min="136" max="139" width="7" customWidth="1"/>
    <col min="140" max="140" width="8" customWidth="1"/>
    <col min="141" max="141" width="7" customWidth="1"/>
    <col min="142" max="144" width="8" customWidth="1"/>
    <col min="145" max="145" width="9" customWidth="1"/>
    <col min="146" max="154" width="8" customWidth="1"/>
    <col min="155" max="155" width="9" customWidth="1"/>
    <col min="156" max="156" width="8" customWidth="1"/>
    <col min="157" max="157" width="9" customWidth="1"/>
    <col min="158" max="158" width="8" customWidth="1"/>
    <col min="159" max="159" width="7" customWidth="1"/>
    <col min="160" max="167" width="8" customWidth="1"/>
    <col min="168" max="168" width="9" customWidth="1"/>
    <col min="169" max="169" width="8" customWidth="1"/>
    <col min="170" max="170" width="9" customWidth="1"/>
    <col min="171" max="171" width="7" customWidth="1"/>
    <col min="172" max="172" width="8" customWidth="1"/>
    <col min="173" max="175" width="9" customWidth="1"/>
    <col min="176" max="179" width="8" customWidth="1"/>
    <col min="180" max="180" width="9" customWidth="1"/>
    <col min="181" max="181" width="8" customWidth="1"/>
    <col min="182" max="182" width="7" customWidth="1"/>
    <col min="183" max="183" width="9" customWidth="1"/>
    <col min="184" max="188" width="8" customWidth="1"/>
    <col min="189" max="189" width="7" customWidth="1"/>
    <col min="190" max="190" width="8" customWidth="1"/>
    <col min="191" max="191" width="7" customWidth="1"/>
    <col min="192" max="192" width="8" customWidth="1"/>
    <col min="193" max="193" width="9" customWidth="1"/>
    <col min="194" max="194" width="7" customWidth="1"/>
    <col min="195" max="197" width="8" customWidth="1"/>
    <col min="198" max="198" width="9" customWidth="1"/>
    <col min="199" max="199" width="8" customWidth="1"/>
    <col min="200" max="200" width="9" customWidth="1"/>
    <col min="201" max="201" width="7" customWidth="1"/>
    <col min="202" max="205" width="8" customWidth="1"/>
    <col min="206" max="206" width="7" customWidth="1"/>
    <col min="207" max="207" width="8" customWidth="1"/>
    <col min="208" max="208" width="7" customWidth="1"/>
    <col min="209" max="209" width="8" customWidth="1"/>
    <col min="210" max="210" width="7" customWidth="1"/>
    <col min="211" max="213" width="8" customWidth="1"/>
    <col min="214" max="214" width="9" customWidth="1"/>
    <col min="215" max="215" width="7" customWidth="1"/>
    <col min="216" max="219" width="8" customWidth="1"/>
    <col min="220" max="220" width="9" customWidth="1"/>
    <col min="221" max="221" width="7" customWidth="1"/>
    <col min="222" max="222" width="9" customWidth="1"/>
    <col min="223" max="223" width="8" customWidth="1"/>
    <col min="224" max="224" width="7" customWidth="1"/>
    <col min="225" max="225" width="9" customWidth="1"/>
    <col min="226" max="226" width="7" customWidth="1"/>
    <col min="227" max="228" width="8" customWidth="1"/>
    <col min="229" max="229" width="9" customWidth="1"/>
    <col min="230" max="232" width="8" customWidth="1"/>
    <col min="233" max="233" width="7" customWidth="1"/>
    <col min="234" max="235" width="9" customWidth="1"/>
    <col min="236" max="236" width="8" customWidth="1"/>
    <col min="237" max="237" width="7" customWidth="1"/>
    <col min="238" max="245" width="8" customWidth="1"/>
    <col min="246" max="246" width="4" customWidth="1"/>
    <col min="247" max="249" width="8" customWidth="1"/>
    <col min="250" max="250" width="9" customWidth="1"/>
    <col min="251" max="252" width="8" customWidth="1"/>
    <col min="253" max="254" width="9" customWidth="1"/>
    <col min="255" max="255" width="7" customWidth="1"/>
    <col min="256" max="256" width="9" customWidth="1"/>
    <col min="257" max="257" width="7" customWidth="1"/>
    <col min="258" max="258" width="8" customWidth="1"/>
    <col min="259" max="259" width="9" customWidth="1"/>
    <col min="260" max="261" width="8" customWidth="1"/>
    <col min="262" max="262" width="9" customWidth="1"/>
    <col min="263" max="263" width="8" customWidth="1"/>
    <col min="264" max="264" width="6" customWidth="1"/>
    <col min="265" max="265" width="8" customWidth="1"/>
    <col min="266" max="266" width="7" customWidth="1"/>
    <col min="267" max="268" width="9" customWidth="1"/>
    <col min="269" max="269" width="8" customWidth="1"/>
    <col min="270" max="271" width="7" customWidth="1"/>
    <col min="272" max="272" width="8" customWidth="1"/>
    <col min="273" max="273" width="9" customWidth="1"/>
    <col min="274" max="274" width="7" customWidth="1"/>
    <col min="275" max="275" width="6" customWidth="1"/>
    <col min="276" max="278" width="8" customWidth="1"/>
    <col min="279" max="279" width="9" customWidth="1"/>
    <col min="280" max="282" width="8" customWidth="1"/>
    <col min="283" max="284" width="7" customWidth="1"/>
    <col min="285" max="292" width="8" customWidth="1"/>
    <col min="293" max="293" width="7" customWidth="1"/>
    <col min="294" max="294" width="9" customWidth="1"/>
    <col min="295" max="295" width="6" customWidth="1"/>
    <col min="296" max="296" width="8" customWidth="1"/>
    <col min="297" max="297" width="7" customWidth="1"/>
    <col min="298" max="299" width="8" customWidth="1"/>
    <col min="300" max="300" width="7.28515625" customWidth="1"/>
    <col min="301" max="301" width="11.28515625" bestFit="1" customWidth="1"/>
  </cols>
  <sheetData>
    <row r="1" spans="1:15" ht="24" thickBot="1" x14ac:dyDescent="0.4">
      <c r="A1" s="12"/>
      <c r="B1" s="12"/>
      <c r="C1" s="12"/>
      <c r="D1" s="12"/>
      <c r="E1" s="12"/>
      <c r="F1" s="12"/>
      <c r="G1" s="12"/>
      <c r="H1" s="12"/>
      <c r="I1" s="12"/>
      <c r="J1" s="12"/>
      <c r="K1" s="12"/>
      <c r="L1" s="10"/>
      <c r="O1" s="23" t="s">
        <v>605</v>
      </c>
    </row>
    <row r="2" spans="1:15" x14ac:dyDescent="0.25">
      <c r="A2" s="16"/>
      <c r="B2" s="10"/>
      <c r="C2" s="10"/>
      <c r="D2" s="10"/>
      <c r="E2" s="10"/>
      <c r="F2" s="10"/>
      <c r="G2" s="10"/>
      <c r="H2" s="10"/>
      <c r="I2" s="10"/>
      <c r="J2" s="10"/>
      <c r="K2" s="13"/>
      <c r="L2" s="10"/>
    </row>
    <row r="3" spans="1:15" x14ac:dyDescent="0.25">
      <c r="A3" s="17" t="s">
        <v>5</v>
      </c>
      <c r="B3" s="10" t="s">
        <v>598</v>
      </c>
      <c r="C3" s="10"/>
      <c r="D3" s="10"/>
      <c r="E3" s="10"/>
      <c r="F3" s="10"/>
      <c r="G3" s="10"/>
      <c r="H3" s="10"/>
      <c r="I3" s="10"/>
      <c r="J3" s="10"/>
      <c r="K3" s="14"/>
      <c r="L3" s="10"/>
      <c r="M3" s="10"/>
    </row>
    <row r="4" spans="1:15" x14ac:dyDescent="0.25">
      <c r="A4" s="18" t="s">
        <v>23</v>
      </c>
      <c r="B4" s="11">
        <v>35070.724500000004</v>
      </c>
      <c r="C4" s="10"/>
      <c r="D4" s="10"/>
      <c r="E4" s="10"/>
      <c r="F4" s="10"/>
      <c r="G4" s="10"/>
      <c r="H4" s="10"/>
      <c r="I4" s="10"/>
      <c r="J4" s="10"/>
      <c r="K4" s="14"/>
      <c r="L4" s="10"/>
    </row>
    <row r="5" spans="1:15" x14ac:dyDescent="0.25">
      <c r="A5" s="18" t="s">
        <v>58</v>
      </c>
      <c r="B5" s="11">
        <v>34097.038499999995</v>
      </c>
      <c r="C5" s="10"/>
      <c r="D5" s="10"/>
      <c r="E5" s="10"/>
      <c r="F5" s="10"/>
      <c r="G5" s="10"/>
      <c r="H5" s="10"/>
      <c r="I5" s="10"/>
      <c r="J5" s="10"/>
      <c r="K5" s="14"/>
      <c r="L5" s="10"/>
    </row>
    <row r="6" spans="1:15" x14ac:dyDescent="0.25">
      <c r="A6" s="18" t="s">
        <v>32</v>
      </c>
      <c r="B6" s="11">
        <v>36102.034499999994</v>
      </c>
      <c r="C6" s="10"/>
      <c r="D6" s="10"/>
      <c r="E6" s="10"/>
      <c r="F6" s="10"/>
      <c r="G6" s="10"/>
      <c r="H6" s="10"/>
      <c r="I6" s="10"/>
      <c r="J6" s="10"/>
      <c r="K6" s="14"/>
      <c r="L6" s="10"/>
    </row>
    <row r="7" spans="1:15" x14ac:dyDescent="0.25">
      <c r="A7" s="18" t="s">
        <v>597</v>
      </c>
      <c r="B7" s="11">
        <v>105269.7975</v>
      </c>
      <c r="C7" s="10"/>
      <c r="D7" s="10"/>
      <c r="E7" s="10"/>
      <c r="F7" s="10"/>
      <c r="G7" s="10"/>
      <c r="H7" s="10"/>
      <c r="I7" s="10"/>
      <c r="J7" s="10"/>
      <c r="K7" s="14"/>
      <c r="L7" s="10"/>
    </row>
    <row r="8" spans="1:15" x14ac:dyDescent="0.25">
      <c r="A8" s="19"/>
      <c r="B8" s="10"/>
      <c r="C8" s="10"/>
      <c r="D8" s="10"/>
      <c r="E8" s="10"/>
      <c r="F8" s="10"/>
      <c r="G8" s="10"/>
      <c r="H8" s="10"/>
      <c r="I8" s="10"/>
      <c r="J8" s="10"/>
      <c r="K8" s="14"/>
      <c r="L8" s="10"/>
    </row>
    <row r="9" spans="1:15" x14ac:dyDescent="0.25">
      <c r="A9" s="19"/>
      <c r="B9" s="10"/>
      <c r="C9" s="10"/>
      <c r="D9" s="10"/>
      <c r="E9" s="10"/>
      <c r="F9" s="10"/>
      <c r="G9" s="10"/>
      <c r="H9" s="10"/>
      <c r="I9" s="10"/>
      <c r="J9" s="10"/>
      <c r="K9" s="14"/>
      <c r="L9" s="10"/>
    </row>
    <row r="10" spans="1:15" x14ac:dyDescent="0.25">
      <c r="A10" s="19"/>
      <c r="B10" s="10"/>
      <c r="C10" s="10"/>
      <c r="D10" s="10"/>
      <c r="E10" s="10"/>
      <c r="F10" s="10"/>
      <c r="G10" s="10"/>
      <c r="H10" s="10"/>
      <c r="I10" s="10"/>
      <c r="J10" s="10"/>
      <c r="K10" s="14"/>
      <c r="L10" s="10"/>
    </row>
    <row r="11" spans="1:15" x14ac:dyDescent="0.25">
      <c r="A11" s="19"/>
      <c r="B11" s="10"/>
      <c r="C11" s="10"/>
      <c r="D11" s="10"/>
      <c r="E11" s="10"/>
      <c r="F11" s="10"/>
      <c r="G11" s="10"/>
      <c r="H11" s="10"/>
      <c r="I11" s="10"/>
      <c r="J11" s="10"/>
      <c r="K11" s="14"/>
      <c r="L11" s="10"/>
    </row>
    <row r="12" spans="1:15" x14ac:dyDescent="0.25">
      <c r="A12" s="19"/>
      <c r="B12" s="10"/>
      <c r="C12" s="10"/>
      <c r="D12" s="10"/>
      <c r="E12" s="10"/>
      <c r="F12" s="10"/>
      <c r="G12" s="10"/>
      <c r="H12" s="10"/>
      <c r="I12" s="10"/>
      <c r="J12" s="10"/>
      <c r="K12" s="14"/>
      <c r="L12" s="10"/>
    </row>
    <row r="13" spans="1:15" x14ac:dyDescent="0.25">
      <c r="A13" s="19"/>
      <c r="B13" s="10"/>
      <c r="C13" s="10"/>
      <c r="D13" s="10"/>
      <c r="E13" s="10"/>
      <c r="F13" s="10"/>
      <c r="G13" s="10"/>
      <c r="H13" s="10"/>
      <c r="I13" s="10"/>
      <c r="J13" s="10"/>
      <c r="K13" s="14"/>
      <c r="L13" s="10"/>
    </row>
    <row r="14" spans="1:15" x14ac:dyDescent="0.25">
      <c r="A14" s="19"/>
      <c r="B14" s="10"/>
      <c r="C14" s="10"/>
      <c r="D14" s="10"/>
      <c r="E14" s="10"/>
      <c r="F14" s="10"/>
      <c r="G14" s="10"/>
      <c r="H14" s="10"/>
      <c r="I14" s="10"/>
      <c r="J14" s="10"/>
      <c r="K14" s="14"/>
      <c r="L14" s="10"/>
    </row>
    <row r="15" spans="1:15" x14ac:dyDescent="0.25">
      <c r="A15" s="19"/>
      <c r="B15" s="10"/>
      <c r="C15" s="10"/>
      <c r="D15" s="10"/>
      <c r="E15" s="10"/>
      <c r="F15" s="10"/>
      <c r="G15" s="10"/>
      <c r="H15" s="10"/>
      <c r="I15" s="10"/>
      <c r="J15" s="10"/>
      <c r="K15" s="14"/>
      <c r="L15" s="10"/>
    </row>
    <row r="16" spans="1:15" x14ac:dyDescent="0.25">
      <c r="A16" s="19"/>
      <c r="B16" s="10"/>
      <c r="C16" s="10"/>
      <c r="D16" s="10"/>
      <c r="E16" s="10"/>
      <c r="F16" s="10"/>
      <c r="G16" s="10"/>
      <c r="H16" s="10"/>
      <c r="I16" s="10"/>
      <c r="J16" s="10"/>
      <c r="K16" s="14"/>
      <c r="L16" s="10"/>
    </row>
    <row r="17" spans="1:12" ht="15.75" thickBot="1" x14ac:dyDescent="0.3">
      <c r="A17" s="20"/>
      <c r="B17" s="12"/>
      <c r="C17" s="12"/>
      <c r="D17" s="12"/>
      <c r="E17" s="12"/>
      <c r="F17" s="12"/>
      <c r="G17" s="12"/>
      <c r="H17" s="12"/>
      <c r="I17" s="12"/>
      <c r="J17" s="12"/>
      <c r="K17" s="15"/>
      <c r="L17" s="10"/>
    </row>
    <row r="18" spans="1:12" x14ac:dyDescent="0.25">
      <c r="A18" s="19"/>
      <c r="B18" s="10"/>
      <c r="C18" s="10"/>
      <c r="D18" s="10"/>
      <c r="E18" s="10"/>
      <c r="F18" s="10"/>
      <c r="G18" s="10"/>
      <c r="H18" s="10"/>
      <c r="I18" s="10"/>
      <c r="J18" s="10"/>
      <c r="K18" s="10"/>
      <c r="L18" s="10"/>
    </row>
    <row r="19" spans="1:12" x14ac:dyDescent="0.25">
      <c r="I19" s="10"/>
      <c r="J19" s="10"/>
      <c r="K19" s="10"/>
      <c r="L19" s="10"/>
    </row>
    <row r="20" spans="1:12" ht="15.75" thickBot="1" x14ac:dyDescent="0.3">
      <c r="A20" s="12"/>
      <c r="B20" s="12"/>
      <c r="C20" s="12"/>
      <c r="D20" s="12"/>
      <c r="E20" s="12"/>
      <c r="F20" s="12"/>
      <c r="G20" s="12"/>
      <c r="H20" s="12"/>
      <c r="I20" s="12"/>
      <c r="J20" s="12"/>
      <c r="K20" s="12"/>
    </row>
    <row r="21" spans="1:12" x14ac:dyDescent="0.25">
      <c r="K21" s="13"/>
    </row>
    <row r="22" spans="1:12" x14ac:dyDescent="0.25">
      <c r="A22" s="3" t="s">
        <v>600</v>
      </c>
      <c r="B22" t="s">
        <v>599</v>
      </c>
      <c r="K22" s="14"/>
    </row>
    <row r="23" spans="1:12" x14ac:dyDescent="0.25">
      <c r="A23" s="4" t="s">
        <v>35</v>
      </c>
      <c r="B23" s="1">
        <v>779.50300000000004</v>
      </c>
      <c r="K23" s="14"/>
    </row>
    <row r="24" spans="1:12" x14ac:dyDescent="0.25">
      <c r="A24" s="4" t="s">
        <v>63</v>
      </c>
      <c r="B24" s="1">
        <v>704.51649999999984</v>
      </c>
      <c r="K24" s="14"/>
    </row>
    <row r="25" spans="1:12" x14ac:dyDescent="0.25">
      <c r="A25" s="4" t="s">
        <v>60</v>
      </c>
      <c r="B25" s="1">
        <v>816.78950000000009</v>
      </c>
      <c r="K25" s="14"/>
    </row>
    <row r="26" spans="1:12" x14ac:dyDescent="0.25">
      <c r="A26" s="4" t="s">
        <v>27</v>
      </c>
      <c r="B26" s="1">
        <v>907.4425</v>
      </c>
      <c r="K26" s="14"/>
    </row>
    <row r="27" spans="1:12" x14ac:dyDescent="0.25">
      <c r="A27" s="4" t="s">
        <v>40</v>
      </c>
      <c r="B27" s="2">
        <v>917.94950000000006</v>
      </c>
      <c r="K27" s="14"/>
    </row>
    <row r="28" spans="1:12" x14ac:dyDescent="0.25">
      <c r="A28" s="4" t="s">
        <v>46</v>
      </c>
      <c r="B28" s="1">
        <v>886.64649999999995</v>
      </c>
      <c r="K28" s="14"/>
    </row>
    <row r="29" spans="1:12" x14ac:dyDescent="0.25">
      <c r="A29" s="4" t="s">
        <v>597</v>
      </c>
      <c r="B29" s="1">
        <v>5012.8474999999999</v>
      </c>
      <c r="K29" s="14"/>
    </row>
    <row r="30" spans="1:12" x14ac:dyDescent="0.25">
      <c r="K30" s="14"/>
    </row>
    <row r="31" spans="1:12" x14ac:dyDescent="0.25">
      <c r="K31" s="14"/>
    </row>
    <row r="32" spans="1:12" x14ac:dyDescent="0.25">
      <c r="K32" s="14"/>
    </row>
    <row r="33" spans="1:11" x14ac:dyDescent="0.25">
      <c r="K33" s="14"/>
    </row>
    <row r="34" spans="1:11" x14ac:dyDescent="0.25">
      <c r="K34" s="14"/>
    </row>
    <row r="35" spans="1:11" x14ac:dyDescent="0.25">
      <c r="K35" s="14"/>
    </row>
    <row r="36" spans="1:11" ht="15.75" thickBot="1" x14ac:dyDescent="0.3">
      <c r="A36" s="12"/>
      <c r="B36" s="12"/>
      <c r="C36" s="12"/>
      <c r="D36" s="12"/>
      <c r="E36" s="12"/>
      <c r="F36" s="12"/>
      <c r="G36" s="12"/>
      <c r="H36" s="12"/>
      <c r="I36" s="12"/>
      <c r="J36" s="12"/>
      <c r="K36" s="15"/>
    </row>
    <row r="39" spans="1:11" ht="15.75" thickBot="1" x14ac:dyDescent="0.3">
      <c r="A39" s="12"/>
      <c r="B39" s="12"/>
      <c r="C39" s="12"/>
      <c r="D39" s="12"/>
      <c r="E39" s="12"/>
      <c r="F39" s="12"/>
      <c r="G39" s="12"/>
      <c r="H39" s="12"/>
      <c r="I39" s="12"/>
      <c r="J39" s="12"/>
      <c r="K39" s="12"/>
    </row>
    <row r="40" spans="1:11" x14ac:dyDescent="0.25">
      <c r="K40" s="13"/>
    </row>
    <row r="41" spans="1:11" x14ac:dyDescent="0.25">
      <c r="A41" s="3" t="s">
        <v>21</v>
      </c>
      <c r="B41" t="s">
        <v>598</v>
      </c>
      <c r="K41" s="14"/>
    </row>
    <row r="42" spans="1:11" x14ac:dyDescent="0.25">
      <c r="A42" s="4" t="s">
        <v>30</v>
      </c>
      <c r="B42" s="2">
        <v>35627.203500000018</v>
      </c>
      <c r="K42" s="14"/>
    </row>
    <row r="43" spans="1:11" x14ac:dyDescent="0.25">
      <c r="A43" s="4" t="s">
        <v>48</v>
      </c>
      <c r="B43" s="2">
        <v>30612.445500000002</v>
      </c>
      <c r="K43" s="14"/>
    </row>
    <row r="44" spans="1:11" x14ac:dyDescent="0.25">
      <c r="A44" s="4" t="s">
        <v>38</v>
      </c>
      <c r="B44" s="2">
        <v>39030.148499999988</v>
      </c>
      <c r="K44" s="14"/>
    </row>
    <row r="45" spans="1:11" x14ac:dyDescent="0.25">
      <c r="A45" s="4" t="s">
        <v>597</v>
      </c>
      <c r="B45" s="2">
        <v>105269.79750000002</v>
      </c>
      <c r="K45" s="14"/>
    </row>
    <row r="46" spans="1:11" x14ac:dyDescent="0.25">
      <c r="K46" s="14"/>
    </row>
    <row r="47" spans="1:11" x14ac:dyDescent="0.25">
      <c r="K47" s="14"/>
    </row>
    <row r="48" spans="1:11" x14ac:dyDescent="0.25">
      <c r="K48" s="14"/>
    </row>
    <row r="49" spans="1:15" x14ac:dyDescent="0.25">
      <c r="K49" s="14"/>
    </row>
    <row r="50" spans="1:15" x14ac:dyDescent="0.25">
      <c r="K50" s="14"/>
    </row>
    <row r="51" spans="1:15" x14ac:dyDescent="0.25">
      <c r="K51" s="14"/>
    </row>
    <row r="52" spans="1:15" x14ac:dyDescent="0.25">
      <c r="K52" s="14"/>
    </row>
    <row r="53" spans="1:15" x14ac:dyDescent="0.25">
      <c r="K53" s="14"/>
    </row>
    <row r="54" spans="1:15" x14ac:dyDescent="0.25">
      <c r="K54" s="14"/>
    </row>
    <row r="55" spans="1:15" ht="15.75" thickBot="1" x14ac:dyDescent="0.3">
      <c r="A55" s="12"/>
      <c r="B55" s="12"/>
      <c r="C55" s="12"/>
      <c r="D55" s="12"/>
      <c r="E55" s="12"/>
      <c r="F55" s="12"/>
      <c r="G55" s="12"/>
      <c r="H55" s="12"/>
      <c r="I55" s="12"/>
      <c r="J55" s="12"/>
      <c r="K55" s="15"/>
    </row>
    <row r="58" spans="1:15" ht="15.75" thickBot="1" x14ac:dyDescent="0.3">
      <c r="A58" s="12"/>
      <c r="B58" s="12"/>
      <c r="C58" s="12"/>
      <c r="D58" s="12"/>
      <c r="E58" s="12"/>
      <c r="F58" s="12"/>
      <c r="G58" s="12"/>
      <c r="H58" s="12"/>
      <c r="I58" s="12"/>
      <c r="J58" s="12"/>
      <c r="K58" s="12"/>
    </row>
    <row r="59" spans="1:15" x14ac:dyDescent="0.25">
      <c r="A59" s="19"/>
      <c r="K59" s="13"/>
    </row>
    <row r="60" spans="1:15" x14ac:dyDescent="0.25">
      <c r="A60" s="3" t="s">
        <v>9</v>
      </c>
      <c r="B60" t="s">
        <v>598</v>
      </c>
      <c r="K60" s="14"/>
    </row>
    <row r="61" spans="1:15" x14ac:dyDescent="0.25">
      <c r="A61" s="4" t="s">
        <v>40</v>
      </c>
      <c r="B61" s="2">
        <v>19276.9395</v>
      </c>
      <c r="K61" s="14"/>
    </row>
    <row r="62" spans="1:15" x14ac:dyDescent="0.25">
      <c r="A62" s="4" t="s">
        <v>27</v>
      </c>
      <c r="B62" s="2">
        <v>19056.2925</v>
      </c>
      <c r="K62" s="14"/>
    </row>
    <row r="63" spans="1:15" x14ac:dyDescent="0.25">
      <c r="A63" s="4" t="s">
        <v>60</v>
      </c>
      <c r="B63" s="2">
        <v>17152.579500000003</v>
      </c>
      <c r="K63" s="14"/>
    </row>
    <row r="64" spans="1:15" x14ac:dyDescent="0.25">
      <c r="A64" s="4" t="s">
        <v>35</v>
      </c>
      <c r="B64" s="2">
        <v>16369.563000000002</v>
      </c>
      <c r="K64" s="14"/>
      <c r="N64" s="4"/>
      <c r="O64" s="2"/>
    </row>
    <row r="65" spans="1:15" x14ac:dyDescent="0.25">
      <c r="A65" s="4" t="s">
        <v>63</v>
      </c>
      <c r="B65" s="2">
        <v>14794.846499999998</v>
      </c>
      <c r="K65" s="14"/>
      <c r="N65" s="4"/>
      <c r="O65" s="2"/>
    </row>
    <row r="66" spans="1:15" x14ac:dyDescent="0.25">
      <c r="A66" s="4" t="s">
        <v>597</v>
      </c>
      <c r="B66" s="2">
        <v>86650.22099999999</v>
      </c>
      <c r="K66" s="14"/>
      <c r="N66" s="4"/>
      <c r="O66" s="2"/>
    </row>
    <row r="67" spans="1:15" x14ac:dyDescent="0.25">
      <c r="K67" s="14"/>
      <c r="N67" s="4"/>
      <c r="O67" s="2"/>
    </row>
    <row r="68" spans="1:15" x14ac:dyDescent="0.25">
      <c r="K68" s="14"/>
    </row>
    <row r="69" spans="1:15" x14ac:dyDescent="0.25">
      <c r="K69" s="14"/>
    </row>
    <row r="70" spans="1:15" x14ac:dyDescent="0.25">
      <c r="K70" s="14"/>
    </row>
    <row r="71" spans="1:15" x14ac:dyDescent="0.25">
      <c r="K71" s="14"/>
    </row>
    <row r="72" spans="1:15" x14ac:dyDescent="0.25">
      <c r="K72" s="14"/>
    </row>
    <row r="73" spans="1:15" x14ac:dyDescent="0.25">
      <c r="K73" s="14"/>
    </row>
    <row r="74" spans="1:15" ht="15.75" thickBot="1" x14ac:dyDescent="0.3">
      <c r="A74" s="12"/>
      <c r="B74" s="12"/>
      <c r="C74" s="12"/>
      <c r="D74" s="12"/>
      <c r="E74" s="12"/>
      <c r="F74" s="12"/>
      <c r="G74" s="12"/>
      <c r="H74" s="12"/>
      <c r="I74" s="12"/>
      <c r="J74" s="12"/>
      <c r="K74" s="15"/>
    </row>
    <row r="76" spans="1:15" ht="15.75" thickBot="1" x14ac:dyDescent="0.3"/>
    <row r="77" spans="1:15" x14ac:dyDescent="0.25">
      <c r="A77" s="16"/>
      <c r="B77" s="21"/>
      <c r="C77" s="21"/>
      <c r="D77" s="21"/>
      <c r="E77" s="21"/>
      <c r="F77" s="21"/>
      <c r="G77" s="21"/>
      <c r="H77" s="21"/>
      <c r="I77" s="21"/>
      <c r="J77" s="21"/>
      <c r="K77" s="13"/>
    </row>
    <row r="78" spans="1:15" x14ac:dyDescent="0.25">
      <c r="A78" s="17" t="s">
        <v>603</v>
      </c>
      <c r="B78" s="10" t="s">
        <v>598</v>
      </c>
      <c r="C78" s="10"/>
      <c r="D78" s="10"/>
      <c r="E78" s="10"/>
      <c r="F78" s="10"/>
      <c r="G78" s="10"/>
      <c r="H78" s="10"/>
      <c r="I78" s="10"/>
      <c r="J78" s="10"/>
      <c r="K78" s="14"/>
    </row>
    <row r="79" spans="1:15" x14ac:dyDescent="0.25">
      <c r="A79" s="18" t="s">
        <v>359</v>
      </c>
      <c r="B79" s="22">
        <v>1039.29</v>
      </c>
      <c r="C79" s="10"/>
      <c r="D79" s="10"/>
      <c r="E79" s="10"/>
      <c r="F79" s="10"/>
      <c r="G79" s="10"/>
      <c r="H79" s="10"/>
      <c r="I79" s="10"/>
      <c r="J79" s="10"/>
      <c r="K79" s="14"/>
    </row>
    <row r="80" spans="1:15" x14ac:dyDescent="0.25">
      <c r="A80" s="18" t="s">
        <v>357</v>
      </c>
      <c r="B80" s="22">
        <v>1003.59</v>
      </c>
      <c r="C80" s="10"/>
      <c r="D80" s="10"/>
      <c r="E80" s="10"/>
      <c r="F80" s="10"/>
      <c r="G80" s="10"/>
      <c r="H80" s="10"/>
      <c r="I80" s="10"/>
      <c r="J80" s="10"/>
      <c r="K80" s="14"/>
    </row>
    <row r="81" spans="1:11" x14ac:dyDescent="0.25">
      <c r="A81" s="18" t="s">
        <v>312</v>
      </c>
      <c r="B81" s="22">
        <v>950.25</v>
      </c>
      <c r="C81" s="10"/>
      <c r="D81" s="10"/>
      <c r="E81" s="10"/>
      <c r="F81" s="10"/>
      <c r="G81" s="10"/>
      <c r="H81" s="10"/>
      <c r="I81" s="10"/>
      <c r="J81" s="10"/>
      <c r="K81" s="14"/>
    </row>
    <row r="82" spans="1:11" x14ac:dyDescent="0.25">
      <c r="A82" s="18" t="s">
        <v>276</v>
      </c>
      <c r="B82" s="22">
        <v>944.62199999999996</v>
      </c>
      <c r="C82" s="10"/>
      <c r="D82" s="10"/>
      <c r="E82" s="10"/>
      <c r="F82" s="10"/>
      <c r="G82" s="10"/>
      <c r="H82" s="10"/>
      <c r="I82" s="10"/>
      <c r="J82" s="10"/>
      <c r="K82" s="14"/>
    </row>
    <row r="83" spans="1:11" x14ac:dyDescent="0.25">
      <c r="A83" s="18" t="s">
        <v>310</v>
      </c>
      <c r="B83" s="22">
        <v>942.9</v>
      </c>
      <c r="C83" s="10"/>
      <c r="D83" s="10"/>
      <c r="E83" s="10"/>
      <c r="F83" s="10"/>
      <c r="G83" s="10"/>
      <c r="H83" s="10"/>
      <c r="I83" s="10"/>
      <c r="J83" s="10"/>
      <c r="K83" s="14"/>
    </row>
    <row r="84" spans="1:11" x14ac:dyDescent="0.25">
      <c r="A84" s="18" t="s">
        <v>434</v>
      </c>
      <c r="B84" s="22">
        <v>942.44849999999997</v>
      </c>
      <c r="C84" s="10"/>
      <c r="D84" s="10"/>
      <c r="E84" s="10"/>
      <c r="F84" s="10"/>
      <c r="G84" s="10"/>
      <c r="H84" s="10"/>
      <c r="I84" s="10"/>
      <c r="J84" s="10"/>
      <c r="K84" s="14"/>
    </row>
    <row r="85" spans="1:11" x14ac:dyDescent="0.25">
      <c r="A85" s="18" t="s">
        <v>182</v>
      </c>
      <c r="B85" s="22">
        <v>939.54</v>
      </c>
      <c r="C85" s="10"/>
      <c r="D85" s="10"/>
      <c r="E85" s="10"/>
      <c r="F85" s="10"/>
      <c r="G85" s="10"/>
      <c r="H85" s="10"/>
      <c r="I85" s="10"/>
      <c r="J85" s="10"/>
      <c r="K85" s="14"/>
    </row>
    <row r="86" spans="1:11" x14ac:dyDescent="0.25">
      <c r="A86" s="18" t="s">
        <v>245</v>
      </c>
      <c r="B86" s="22">
        <v>931.03499999999997</v>
      </c>
      <c r="C86" s="10"/>
      <c r="D86" s="10"/>
      <c r="E86" s="10"/>
      <c r="F86" s="10"/>
      <c r="G86" s="10"/>
      <c r="H86" s="10"/>
      <c r="I86" s="10"/>
      <c r="J86" s="10"/>
      <c r="K86" s="14"/>
    </row>
    <row r="87" spans="1:11" x14ac:dyDescent="0.25">
      <c r="A87" s="18" t="s">
        <v>229</v>
      </c>
      <c r="B87" s="22">
        <v>922.63499999999999</v>
      </c>
      <c r="C87" s="10"/>
      <c r="D87" s="10"/>
      <c r="E87" s="10"/>
      <c r="F87" s="10"/>
      <c r="G87" s="10"/>
      <c r="H87" s="10"/>
      <c r="I87" s="10"/>
      <c r="J87" s="10"/>
      <c r="K87" s="14"/>
    </row>
    <row r="88" spans="1:11" x14ac:dyDescent="0.25">
      <c r="A88" s="18" t="s">
        <v>342</v>
      </c>
      <c r="B88" s="22">
        <v>918.72900000000004</v>
      </c>
      <c r="C88" s="10"/>
      <c r="D88" s="10"/>
      <c r="E88" s="10"/>
      <c r="F88" s="10"/>
      <c r="G88" s="10"/>
      <c r="H88" s="10"/>
      <c r="I88" s="10"/>
      <c r="J88" s="10"/>
      <c r="K88" s="14"/>
    </row>
    <row r="89" spans="1:11" x14ac:dyDescent="0.25">
      <c r="A89" s="18" t="s">
        <v>597</v>
      </c>
      <c r="B89" s="22">
        <v>9535.039499999999</v>
      </c>
      <c r="C89" s="10"/>
      <c r="D89" s="10"/>
      <c r="E89" s="10"/>
      <c r="F89" s="10"/>
      <c r="G89" s="10"/>
      <c r="H89" s="10"/>
      <c r="I89" s="10"/>
      <c r="J89" s="10"/>
      <c r="K89" s="14"/>
    </row>
    <row r="90" spans="1:11" x14ac:dyDescent="0.25">
      <c r="A90" s="19"/>
      <c r="B90" s="10"/>
      <c r="C90" s="10"/>
      <c r="D90" s="10"/>
      <c r="E90" s="10"/>
      <c r="F90" s="10"/>
      <c r="G90" s="10"/>
      <c r="H90" s="10"/>
      <c r="I90" s="10"/>
      <c r="J90" s="10"/>
      <c r="K90" s="14"/>
    </row>
    <row r="91" spans="1:11" x14ac:dyDescent="0.25">
      <c r="A91" s="19"/>
      <c r="B91" s="10"/>
      <c r="C91" s="10"/>
      <c r="D91" s="10"/>
      <c r="E91" s="10"/>
      <c r="F91" s="10"/>
      <c r="G91" s="10"/>
      <c r="H91" s="10"/>
      <c r="I91" s="10"/>
      <c r="J91" s="10"/>
      <c r="K91" s="14"/>
    </row>
    <row r="92" spans="1:11" ht="15.75" thickBot="1" x14ac:dyDescent="0.3">
      <c r="A92" s="20"/>
      <c r="B92" s="12"/>
      <c r="C92" s="12"/>
      <c r="D92" s="12"/>
      <c r="E92" s="12"/>
      <c r="F92" s="12"/>
      <c r="G92" s="12"/>
      <c r="H92" s="12"/>
      <c r="I92" s="12"/>
      <c r="J92" s="12"/>
      <c r="K92" s="15"/>
    </row>
  </sheetData>
  <pageMargins left="0.7" right="0.7" top="0.75" bottom="0.75" header="0.3" footer="0.3"/>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sqref="A1:J31"/>
    </sheetView>
  </sheetViews>
  <sheetFormatPr defaultRowHeight="15" x14ac:dyDescent="0.25"/>
  <cols>
    <col min="1" max="1" width="20.42578125" bestFit="1" customWidth="1"/>
    <col min="2" max="2" width="12.140625" bestFit="1" customWidth="1"/>
  </cols>
  <sheetData>
    <row r="3" spans="1:2" x14ac:dyDescent="0.25">
      <c r="A3" s="3" t="s">
        <v>9</v>
      </c>
      <c r="B3" t="s">
        <v>598</v>
      </c>
    </row>
    <row r="4" spans="1:2" x14ac:dyDescent="0.25">
      <c r="A4" s="4" t="s">
        <v>40</v>
      </c>
      <c r="B4" s="2">
        <v>19276.9395</v>
      </c>
    </row>
    <row r="5" spans="1:2" x14ac:dyDescent="0.25">
      <c r="A5" s="4" t="s">
        <v>27</v>
      </c>
      <c r="B5" s="2">
        <v>19056.2925</v>
      </c>
    </row>
    <row r="6" spans="1:2" x14ac:dyDescent="0.25">
      <c r="A6" s="4" t="s">
        <v>60</v>
      </c>
      <c r="B6" s="2">
        <v>17152.579500000003</v>
      </c>
    </row>
    <row r="7" spans="1:2" x14ac:dyDescent="0.25">
      <c r="A7" s="4" t="s">
        <v>35</v>
      </c>
      <c r="B7" s="2">
        <v>16369.563000000002</v>
      </c>
    </row>
    <row r="8" spans="1:2" x14ac:dyDescent="0.25">
      <c r="A8" s="4" t="s">
        <v>63</v>
      </c>
      <c r="B8" s="2">
        <v>14794.846499999998</v>
      </c>
    </row>
    <row r="9" spans="1:2" x14ac:dyDescent="0.25">
      <c r="A9" s="4" t="s">
        <v>597</v>
      </c>
      <c r="B9" s="2">
        <v>86650.22099999999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08"/>
  <sheetViews>
    <sheetView tabSelected="1" workbookViewId="0">
      <selection activeCell="B4" sqref="B4"/>
    </sheetView>
  </sheetViews>
  <sheetFormatPr defaultRowHeight="15" x14ac:dyDescent="0.25"/>
  <cols>
    <col min="1" max="1" width="19.7109375" customWidth="1"/>
    <col min="2" max="2" width="9.5703125" customWidth="1"/>
    <col min="4" max="4" width="18.5703125" customWidth="1"/>
    <col min="6" max="6" width="32.5703125" customWidth="1"/>
    <col min="7" max="7" width="14.28515625" customWidth="1"/>
    <col min="8" max="8" width="13.85546875" customWidth="1"/>
    <col min="11" max="11" width="17.42578125" style="9" customWidth="1"/>
  </cols>
  <sheetData>
    <row r="1" spans="1:18" ht="23.25" x14ac:dyDescent="0.35">
      <c r="A1" s="8" t="s">
        <v>602</v>
      </c>
      <c r="B1" s="8" t="s">
        <v>601</v>
      </c>
      <c r="F1" s="23" t="s">
        <v>604</v>
      </c>
    </row>
    <row r="2" spans="1:18" x14ac:dyDescent="0.25">
      <c r="A2" s="5" t="s">
        <v>0</v>
      </c>
      <c r="B2" s="6">
        <f>SUM(J9:J308)</f>
        <v>105269.79750000002</v>
      </c>
    </row>
    <row r="3" spans="1:18" x14ac:dyDescent="0.25">
      <c r="A3" s="5" t="s">
        <v>1</v>
      </c>
      <c r="B3" s="6">
        <f>SUM(P9:P308)</f>
        <v>5012.8474999999999</v>
      </c>
    </row>
    <row r="4" spans="1:18" x14ac:dyDescent="0.25">
      <c r="A4" s="5" t="s">
        <v>2</v>
      </c>
      <c r="B4" s="7">
        <f>COUNTA(A9:A308)</f>
        <v>300</v>
      </c>
    </row>
    <row r="5" spans="1:18" x14ac:dyDescent="0.25">
      <c r="A5" s="5" t="s">
        <v>3</v>
      </c>
      <c r="B5" s="6">
        <f>AVERAGE(J9:J308)</f>
        <v>350.89932500000003</v>
      </c>
    </row>
    <row r="6" spans="1:18" x14ac:dyDescent="0.25">
      <c r="A6" s="5" t="s">
        <v>4</v>
      </c>
      <c r="B6" s="7">
        <f>SUM(H9:H308)</f>
        <v>1760</v>
      </c>
    </row>
    <row r="8" spans="1:18" x14ac:dyDescent="0.25">
      <c r="A8" t="s">
        <v>596</v>
      </c>
      <c r="B8" t="s">
        <v>5</v>
      </c>
      <c r="C8" t="s">
        <v>6</v>
      </c>
      <c r="D8" t="s">
        <v>7</v>
      </c>
      <c r="E8" t="s">
        <v>8</v>
      </c>
      <c r="F8" t="s">
        <v>9</v>
      </c>
      <c r="G8" t="s">
        <v>10</v>
      </c>
      <c r="H8" t="s">
        <v>11</v>
      </c>
      <c r="I8" t="s">
        <v>12</v>
      </c>
      <c r="J8" t="s">
        <v>13</v>
      </c>
      <c r="K8" s="9" t="s">
        <v>14</v>
      </c>
      <c r="L8" t="s">
        <v>15</v>
      </c>
      <c r="M8" t="s">
        <v>16</v>
      </c>
      <c r="N8" t="s">
        <v>17</v>
      </c>
      <c r="O8" t="s">
        <v>18</v>
      </c>
      <c r="P8" t="s">
        <v>19</v>
      </c>
      <c r="Q8" t="s">
        <v>20</v>
      </c>
      <c r="R8" t="s">
        <v>21</v>
      </c>
    </row>
    <row r="9" spans="1:18" x14ac:dyDescent="0.25">
      <c r="A9" t="s">
        <v>22</v>
      </c>
      <c r="B9" t="s">
        <v>23</v>
      </c>
      <c r="C9" t="s">
        <v>24</v>
      </c>
      <c r="D9" t="s">
        <v>25</v>
      </c>
      <c r="E9" t="s">
        <v>26</v>
      </c>
      <c r="F9" t="s">
        <v>27</v>
      </c>
      <c r="G9">
        <v>74.69</v>
      </c>
      <c r="H9">
        <v>7</v>
      </c>
      <c r="I9">
        <v>26.141500000000001</v>
      </c>
      <c r="J9">
        <v>548.97149999999999</v>
      </c>
      <c r="K9" s="9">
        <v>43470</v>
      </c>
      <c r="L9" t="s">
        <v>28</v>
      </c>
      <c r="M9" t="s">
        <v>29</v>
      </c>
      <c r="N9">
        <v>522.83000000000004</v>
      </c>
      <c r="O9">
        <v>4.7619047620000003</v>
      </c>
      <c r="P9">
        <v>26.141500000000001</v>
      </c>
      <c r="Q9">
        <v>9.1</v>
      </c>
      <c r="R9" t="s">
        <v>30</v>
      </c>
    </row>
    <row r="10" spans="1:18" x14ac:dyDescent="0.25">
      <c r="A10" t="s">
        <v>31</v>
      </c>
      <c r="B10" t="s">
        <v>32</v>
      </c>
      <c r="C10" t="s">
        <v>33</v>
      </c>
      <c r="D10" t="s">
        <v>34</v>
      </c>
      <c r="E10" t="s">
        <v>26</v>
      </c>
      <c r="F10" t="s">
        <v>35</v>
      </c>
      <c r="G10">
        <v>15.28</v>
      </c>
      <c r="H10">
        <v>5</v>
      </c>
      <c r="I10">
        <v>3.82</v>
      </c>
      <c r="J10">
        <v>80.22</v>
      </c>
      <c r="K10" s="9">
        <v>43532</v>
      </c>
      <c r="L10" t="s">
        <v>36</v>
      </c>
      <c r="M10" t="s">
        <v>37</v>
      </c>
      <c r="N10">
        <v>76.400000000000006</v>
      </c>
      <c r="O10">
        <v>4.7619047620000003</v>
      </c>
      <c r="P10">
        <v>3.82</v>
      </c>
      <c r="Q10">
        <v>9.6</v>
      </c>
      <c r="R10" t="s">
        <v>38</v>
      </c>
    </row>
    <row r="11" spans="1:18" x14ac:dyDescent="0.25">
      <c r="A11" t="s">
        <v>39</v>
      </c>
      <c r="B11" t="s">
        <v>23</v>
      </c>
      <c r="C11" t="s">
        <v>24</v>
      </c>
      <c r="D11" t="s">
        <v>34</v>
      </c>
      <c r="E11" t="s">
        <v>26</v>
      </c>
      <c r="F11" t="s">
        <v>40</v>
      </c>
      <c r="G11">
        <v>46.33</v>
      </c>
      <c r="H11">
        <v>7</v>
      </c>
      <c r="I11">
        <v>16.215499999999999</v>
      </c>
      <c r="J11">
        <v>340.52550000000002</v>
      </c>
      <c r="K11" s="9">
        <v>43527</v>
      </c>
      <c r="L11" t="s">
        <v>41</v>
      </c>
      <c r="M11" t="s">
        <v>42</v>
      </c>
      <c r="N11">
        <v>324.31</v>
      </c>
      <c r="O11">
        <v>4.7619047620000003</v>
      </c>
      <c r="P11">
        <v>16.215499999999999</v>
      </c>
      <c r="Q11">
        <v>7.4</v>
      </c>
      <c r="R11" t="s">
        <v>38</v>
      </c>
    </row>
    <row r="12" spans="1:18" x14ac:dyDescent="0.25">
      <c r="A12" t="s">
        <v>43</v>
      </c>
      <c r="B12" t="s">
        <v>23</v>
      </c>
      <c r="C12" t="s">
        <v>24</v>
      </c>
      <c r="D12" t="s">
        <v>25</v>
      </c>
      <c r="E12" t="s">
        <v>26</v>
      </c>
      <c r="F12" t="s">
        <v>27</v>
      </c>
      <c r="G12">
        <v>58.22</v>
      </c>
      <c r="H12">
        <v>8</v>
      </c>
      <c r="I12">
        <v>23.288</v>
      </c>
      <c r="J12">
        <v>489.048</v>
      </c>
      <c r="K12" s="9">
        <v>43492</v>
      </c>
      <c r="L12" t="s">
        <v>44</v>
      </c>
      <c r="M12" t="s">
        <v>29</v>
      </c>
      <c r="N12">
        <v>465.76</v>
      </c>
      <c r="O12">
        <v>4.7619047620000003</v>
      </c>
      <c r="P12">
        <v>23.288</v>
      </c>
      <c r="Q12">
        <v>8.4</v>
      </c>
      <c r="R12" t="s">
        <v>30</v>
      </c>
    </row>
    <row r="13" spans="1:18" x14ac:dyDescent="0.25">
      <c r="A13" t="s">
        <v>45</v>
      </c>
      <c r="B13" t="s">
        <v>23</v>
      </c>
      <c r="C13" t="s">
        <v>24</v>
      </c>
      <c r="D13" t="s">
        <v>25</v>
      </c>
      <c r="E13" t="s">
        <v>26</v>
      </c>
      <c r="F13" t="s">
        <v>46</v>
      </c>
      <c r="G13">
        <v>86.31</v>
      </c>
      <c r="H13">
        <v>7</v>
      </c>
      <c r="I13">
        <v>30.208500000000001</v>
      </c>
      <c r="J13">
        <v>634.37850000000003</v>
      </c>
      <c r="K13" s="9">
        <v>43504</v>
      </c>
      <c r="L13" t="s">
        <v>47</v>
      </c>
      <c r="M13" t="s">
        <v>29</v>
      </c>
      <c r="N13">
        <v>604.16999999999996</v>
      </c>
      <c r="O13">
        <v>4.7619047620000003</v>
      </c>
      <c r="P13">
        <v>30.208500000000001</v>
      </c>
      <c r="Q13">
        <v>5.3</v>
      </c>
      <c r="R13" t="s">
        <v>48</v>
      </c>
    </row>
    <row r="14" spans="1:18" x14ac:dyDescent="0.25">
      <c r="A14" t="s">
        <v>49</v>
      </c>
      <c r="B14" t="s">
        <v>32</v>
      </c>
      <c r="C14" t="s">
        <v>33</v>
      </c>
      <c r="D14" t="s">
        <v>25</v>
      </c>
      <c r="E14" t="s">
        <v>26</v>
      </c>
      <c r="F14" t="s">
        <v>35</v>
      </c>
      <c r="G14">
        <v>85.39</v>
      </c>
      <c r="H14">
        <v>7</v>
      </c>
      <c r="I14">
        <v>29.886500000000002</v>
      </c>
      <c r="J14">
        <v>627.61649999999997</v>
      </c>
      <c r="K14" s="9">
        <v>43549</v>
      </c>
      <c r="L14" t="s">
        <v>50</v>
      </c>
      <c r="M14" t="s">
        <v>29</v>
      </c>
      <c r="N14">
        <v>597.73</v>
      </c>
      <c r="O14">
        <v>4.7619047620000003</v>
      </c>
      <c r="P14">
        <v>29.886500000000002</v>
      </c>
      <c r="Q14">
        <v>4.0999999999999996</v>
      </c>
      <c r="R14" t="s">
        <v>38</v>
      </c>
    </row>
    <row r="15" spans="1:18" x14ac:dyDescent="0.25">
      <c r="A15" t="s">
        <v>51</v>
      </c>
      <c r="B15" t="s">
        <v>23</v>
      </c>
      <c r="C15" t="s">
        <v>24</v>
      </c>
      <c r="D15" t="s">
        <v>25</v>
      </c>
      <c r="E15" t="s">
        <v>26</v>
      </c>
      <c r="F15" t="s">
        <v>35</v>
      </c>
      <c r="G15">
        <v>68.84</v>
      </c>
      <c r="H15">
        <v>6</v>
      </c>
      <c r="I15">
        <v>20.652000000000001</v>
      </c>
      <c r="J15">
        <v>433.69200000000001</v>
      </c>
      <c r="K15" s="9">
        <v>43521</v>
      </c>
      <c r="L15" t="s">
        <v>52</v>
      </c>
      <c r="M15" t="s">
        <v>29</v>
      </c>
      <c r="N15">
        <v>413.04</v>
      </c>
      <c r="O15">
        <v>4.7619047620000003</v>
      </c>
      <c r="P15">
        <v>20.652000000000001</v>
      </c>
      <c r="Q15">
        <v>5.8</v>
      </c>
      <c r="R15" t="s">
        <v>48</v>
      </c>
    </row>
    <row r="16" spans="1:18" x14ac:dyDescent="0.25">
      <c r="A16" t="s">
        <v>53</v>
      </c>
      <c r="B16" t="s">
        <v>32</v>
      </c>
      <c r="C16" t="s">
        <v>33</v>
      </c>
      <c r="D16" t="s">
        <v>25</v>
      </c>
      <c r="E16" t="s">
        <v>26</v>
      </c>
      <c r="F16" t="s">
        <v>40</v>
      </c>
      <c r="G16">
        <v>73.56</v>
      </c>
      <c r="H16">
        <v>10</v>
      </c>
      <c r="I16">
        <v>36.78</v>
      </c>
      <c r="J16">
        <v>772.38</v>
      </c>
      <c r="K16" s="9">
        <v>43520</v>
      </c>
      <c r="L16" t="s">
        <v>54</v>
      </c>
      <c r="M16" t="s">
        <v>29</v>
      </c>
      <c r="N16">
        <v>735.6</v>
      </c>
      <c r="O16">
        <v>4.7619047620000003</v>
      </c>
      <c r="P16">
        <v>36.78</v>
      </c>
      <c r="Q16">
        <v>8</v>
      </c>
      <c r="R16" t="s">
        <v>48</v>
      </c>
    </row>
    <row r="17" spans="1:18" x14ac:dyDescent="0.25">
      <c r="A17" t="s">
        <v>55</v>
      </c>
      <c r="B17" t="s">
        <v>23</v>
      </c>
      <c r="C17" t="s">
        <v>24</v>
      </c>
      <c r="D17" t="s">
        <v>25</v>
      </c>
      <c r="E17" t="s">
        <v>26</v>
      </c>
      <c r="F17" t="s">
        <v>27</v>
      </c>
      <c r="G17">
        <v>36.26</v>
      </c>
      <c r="H17">
        <v>2</v>
      </c>
      <c r="I17">
        <v>3.6259999999999999</v>
      </c>
      <c r="J17">
        <v>76.146000000000001</v>
      </c>
      <c r="K17" s="9">
        <v>43475</v>
      </c>
      <c r="L17" t="s">
        <v>56</v>
      </c>
      <c r="M17" t="s">
        <v>42</v>
      </c>
      <c r="N17">
        <v>72.52</v>
      </c>
      <c r="O17">
        <v>4.7619047620000003</v>
      </c>
      <c r="P17">
        <v>3.6259999999999999</v>
      </c>
      <c r="Q17">
        <v>7.2</v>
      </c>
      <c r="R17" t="s">
        <v>30</v>
      </c>
    </row>
    <row r="18" spans="1:18" x14ac:dyDescent="0.25">
      <c r="A18" t="s">
        <v>57</v>
      </c>
      <c r="B18" t="s">
        <v>58</v>
      </c>
      <c r="C18" t="s">
        <v>59</v>
      </c>
      <c r="D18" t="s">
        <v>25</v>
      </c>
      <c r="E18" t="s">
        <v>26</v>
      </c>
      <c r="F18" t="s">
        <v>60</v>
      </c>
      <c r="G18">
        <v>54.84</v>
      </c>
      <c r="H18">
        <v>3</v>
      </c>
      <c r="I18">
        <v>8.2260000000000009</v>
      </c>
      <c r="J18">
        <v>172.74600000000001</v>
      </c>
      <c r="K18" s="9">
        <v>43516</v>
      </c>
      <c r="L18" t="s">
        <v>61</v>
      </c>
      <c r="M18" t="s">
        <v>42</v>
      </c>
      <c r="N18">
        <v>164.52</v>
      </c>
      <c r="O18">
        <v>4.7619047620000003</v>
      </c>
      <c r="P18">
        <v>8.2260000000000009</v>
      </c>
      <c r="Q18">
        <v>5.9</v>
      </c>
      <c r="R18" t="s">
        <v>48</v>
      </c>
    </row>
    <row r="19" spans="1:18" x14ac:dyDescent="0.25">
      <c r="A19" t="s">
        <v>62</v>
      </c>
      <c r="B19" t="s">
        <v>58</v>
      </c>
      <c r="C19" t="s">
        <v>59</v>
      </c>
      <c r="D19" t="s">
        <v>25</v>
      </c>
      <c r="E19" t="s">
        <v>26</v>
      </c>
      <c r="F19" t="s">
        <v>63</v>
      </c>
      <c r="G19">
        <v>14.48</v>
      </c>
      <c r="H19">
        <v>4</v>
      </c>
      <c r="I19">
        <v>2.8959999999999999</v>
      </c>
      <c r="J19">
        <v>60.816000000000003</v>
      </c>
      <c r="K19" s="9">
        <v>43502</v>
      </c>
      <c r="L19" t="s">
        <v>64</v>
      </c>
      <c r="M19" t="s">
        <v>29</v>
      </c>
      <c r="N19">
        <v>57.92</v>
      </c>
      <c r="O19">
        <v>4.7619047620000003</v>
      </c>
      <c r="P19">
        <v>2.8959999999999999</v>
      </c>
      <c r="Q19">
        <v>4.5</v>
      </c>
      <c r="R19" t="s">
        <v>48</v>
      </c>
    </row>
    <row r="20" spans="1:18" x14ac:dyDescent="0.25">
      <c r="A20" t="s">
        <v>65</v>
      </c>
      <c r="B20" t="s">
        <v>58</v>
      </c>
      <c r="C20" t="s">
        <v>59</v>
      </c>
      <c r="D20" t="s">
        <v>25</v>
      </c>
      <c r="E20" t="s">
        <v>26</v>
      </c>
      <c r="F20" t="s">
        <v>35</v>
      </c>
      <c r="G20">
        <v>25.51</v>
      </c>
      <c r="H20">
        <v>4</v>
      </c>
      <c r="I20">
        <v>5.1020000000000003</v>
      </c>
      <c r="J20">
        <v>107.142</v>
      </c>
      <c r="K20" s="9">
        <v>43533</v>
      </c>
      <c r="L20" t="s">
        <v>66</v>
      </c>
      <c r="M20" t="s">
        <v>37</v>
      </c>
      <c r="N20">
        <v>102.04</v>
      </c>
      <c r="O20">
        <v>4.7619047620000003</v>
      </c>
      <c r="P20">
        <v>5.1020000000000003</v>
      </c>
      <c r="Q20">
        <v>6.8</v>
      </c>
      <c r="R20" t="s">
        <v>38</v>
      </c>
    </row>
    <row r="21" spans="1:18" x14ac:dyDescent="0.25">
      <c r="A21" t="s">
        <v>67</v>
      </c>
      <c r="B21" t="s">
        <v>23</v>
      </c>
      <c r="C21" t="s">
        <v>24</v>
      </c>
      <c r="D21" t="s">
        <v>25</v>
      </c>
      <c r="E21" t="s">
        <v>26</v>
      </c>
      <c r="F21" t="s">
        <v>35</v>
      </c>
      <c r="G21">
        <v>46.95</v>
      </c>
      <c r="H21">
        <v>5</v>
      </c>
      <c r="I21">
        <v>11.737500000000001</v>
      </c>
      <c r="J21">
        <v>246.48750000000001</v>
      </c>
      <c r="K21" s="9">
        <v>43508</v>
      </c>
      <c r="L21" t="s">
        <v>68</v>
      </c>
      <c r="M21" t="s">
        <v>29</v>
      </c>
      <c r="N21">
        <v>234.75</v>
      </c>
      <c r="O21">
        <v>4.7619047620000003</v>
      </c>
      <c r="P21">
        <v>11.737500000000001</v>
      </c>
      <c r="Q21">
        <v>7.1</v>
      </c>
      <c r="R21" t="s">
        <v>48</v>
      </c>
    </row>
    <row r="22" spans="1:18" x14ac:dyDescent="0.25">
      <c r="A22" t="s">
        <v>69</v>
      </c>
      <c r="B22" t="s">
        <v>23</v>
      </c>
      <c r="C22" t="s">
        <v>24</v>
      </c>
      <c r="D22" t="s">
        <v>25</v>
      </c>
      <c r="E22" t="s">
        <v>26</v>
      </c>
      <c r="F22" t="s">
        <v>60</v>
      </c>
      <c r="G22">
        <v>43.19</v>
      </c>
      <c r="H22">
        <v>10</v>
      </c>
      <c r="I22">
        <v>21.594999999999999</v>
      </c>
      <c r="J22">
        <v>453.495</v>
      </c>
      <c r="K22" s="9">
        <v>43503</v>
      </c>
      <c r="L22" t="s">
        <v>70</v>
      </c>
      <c r="M22" t="s">
        <v>29</v>
      </c>
      <c r="N22">
        <v>431.9</v>
      </c>
      <c r="O22">
        <v>4.7619047620000003</v>
      </c>
      <c r="P22">
        <v>21.594999999999999</v>
      </c>
      <c r="Q22">
        <v>8.1999999999999993</v>
      </c>
      <c r="R22" t="s">
        <v>48</v>
      </c>
    </row>
    <row r="23" spans="1:18" x14ac:dyDescent="0.25">
      <c r="A23" t="s">
        <v>71</v>
      </c>
      <c r="B23" t="s">
        <v>23</v>
      </c>
      <c r="C23" t="s">
        <v>24</v>
      </c>
      <c r="D23" t="s">
        <v>25</v>
      </c>
      <c r="E23" t="s">
        <v>26</v>
      </c>
      <c r="F23" t="s">
        <v>27</v>
      </c>
      <c r="G23">
        <v>71.38</v>
      </c>
      <c r="H23">
        <v>10</v>
      </c>
      <c r="I23">
        <v>35.69</v>
      </c>
      <c r="J23">
        <v>749.49</v>
      </c>
      <c r="K23" s="9">
        <v>43553</v>
      </c>
      <c r="L23" t="s">
        <v>72</v>
      </c>
      <c r="M23" t="s">
        <v>37</v>
      </c>
      <c r="N23">
        <v>713.8</v>
      </c>
      <c r="O23">
        <v>4.7619047620000003</v>
      </c>
      <c r="P23">
        <v>35.69</v>
      </c>
      <c r="Q23">
        <v>5.7</v>
      </c>
      <c r="R23" t="s">
        <v>38</v>
      </c>
    </row>
    <row r="24" spans="1:18" x14ac:dyDescent="0.25">
      <c r="A24" t="s">
        <v>73</v>
      </c>
      <c r="B24" t="s">
        <v>58</v>
      </c>
      <c r="C24" t="s">
        <v>59</v>
      </c>
      <c r="D24" t="s">
        <v>25</v>
      </c>
      <c r="E24" t="s">
        <v>26</v>
      </c>
      <c r="F24" t="s">
        <v>46</v>
      </c>
      <c r="G24">
        <v>93.72</v>
      </c>
      <c r="H24">
        <v>6</v>
      </c>
      <c r="I24">
        <v>28.116</v>
      </c>
      <c r="J24">
        <v>590.43600000000004</v>
      </c>
      <c r="K24" s="9">
        <v>43480</v>
      </c>
      <c r="L24" t="s">
        <v>74</v>
      </c>
      <c r="M24" t="s">
        <v>37</v>
      </c>
      <c r="N24">
        <v>562.32000000000005</v>
      </c>
      <c r="O24">
        <v>4.7619047620000003</v>
      </c>
      <c r="P24">
        <v>28.116</v>
      </c>
      <c r="Q24">
        <v>4.5</v>
      </c>
      <c r="R24" t="s">
        <v>30</v>
      </c>
    </row>
    <row r="25" spans="1:18" x14ac:dyDescent="0.25">
      <c r="A25" t="s">
        <v>75</v>
      </c>
      <c r="B25" t="s">
        <v>23</v>
      </c>
      <c r="C25" t="s">
        <v>24</v>
      </c>
      <c r="D25" t="s">
        <v>25</v>
      </c>
      <c r="E25" t="s">
        <v>26</v>
      </c>
      <c r="F25" t="s">
        <v>27</v>
      </c>
      <c r="G25">
        <v>68.930000000000007</v>
      </c>
      <c r="H25">
        <v>7</v>
      </c>
      <c r="I25">
        <v>24.125499999999999</v>
      </c>
      <c r="J25">
        <v>506.63549999999998</v>
      </c>
      <c r="K25" s="9">
        <v>43535</v>
      </c>
      <c r="L25" t="s">
        <v>76</v>
      </c>
      <c r="M25" t="s">
        <v>42</v>
      </c>
      <c r="N25">
        <v>482.51</v>
      </c>
      <c r="O25">
        <v>4.7619047620000003</v>
      </c>
      <c r="P25">
        <v>24.125499999999999</v>
      </c>
      <c r="Q25">
        <v>4.5999999999999996</v>
      </c>
      <c r="R25" t="s">
        <v>38</v>
      </c>
    </row>
    <row r="26" spans="1:18" x14ac:dyDescent="0.25">
      <c r="A26" t="s">
        <v>77</v>
      </c>
      <c r="B26" t="s">
        <v>23</v>
      </c>
      <c r="C26" t="s">
        <v>24</v>
      </c>
      <c r="D26" t="s">
        <v>25</v>
      </c>
      <c r="E26" t="s">
        <v>26</v>
      </c>
      <c r="F26" t="s">
        <v>46</v>
      </c>
      <c r="G26">
        <v>72.61</v>
      </c>
      <c r="H26">
        <v>6</v>
      </c>
      <c r="I26">
        <v>21.783000000000001</v>
      </c>
      <c r="J26">
        <v>457.44299999999998</v>
      </c>
      <c r="K26" s="9">
        <v>43466</v>
      </c>
      <c r="L26" t="s">
        <v>78</v>
      </c>
      <c r="M26" t="s">
        <v>42</v>
      </c>
      <c r="N26">
        <v>435.66</v>
      </c>
      <c r="O26">
        <v>4.7619047620000003</v>
      </c>
      <c r="P26">
        <v>21.783000000000001</v>
      </c>
      <c r="Q26">
        <v>6.9</v>
      </c>
      <c r="R26" t="s">
        <v>30</v>
      </c>
    </row>
    <row r="27" spans="1:18" x14ac:dyDescent="0.25">
      <c r="A27" t="s">
        <v>79</v>
      </c>
      <c r="B27" t="s">
        <v>23</v>
      </c>
      <c r="C27" t="s">
        <v>24</v>
      </c>
      <c r="D27" t="s">
        <v>25</v>
      </c>
      <c r="E27" t="s">
        <v>26</v>
      </c>
      <c r="F27" t="s">
        <v>60</v>
      </c>
      <c r="G27">
        <v>54.67</v>
      </c>
      <c r="H27">
        <v>3</v>
      </c>
      <c r="I27">
        <v>8.2004999999999999</v>
      </c>
      <c r="J27">
        <v>172.2105</v>
      </c>
      <c r="K27" s="9">
        <v>43486</v>
      </c>
      <c r="L27" t="s">
        <v>80</v>
      </c>
      <c r="M27" t="s">
        <v>42</v>
      </c>
      <c r="N27">
        <v>164.01</v>
      </c>
      <c r="O27">
        <v>4.7619047620000003</v>
      </c>
      <c r="P27">
        <v>8.2004999999999999</v>
      </c>
      <c r="Q27">
        <v>8.6</v>
      </c>
      <c r="R27" t="s">
        <v>30</v>
      </c>
    </row>
    <row r="28" spans="1:18" x14ac:dyDescent="0.25">
      <c r="A28" t="s">
        <v>81</v>
      </c>
      <c r="B28" t="s">
        <v>58</v>
      </c>
      <c r="C28" t="s">
        <v>59</v>
      </c>
      <c r="D28" t="s">
        <v>25</v>
      </c>
      <c r="E28" t="s">
        <v>26</v>
      </c>
      <c r="F28" t="s">
        <v>40</v>
      </c>
      <c r="G28">
        <v>40.299999999999997</v>
      </c>
      <c r="H28">
        <v>2</v>
      </c>
      <c r="I28">
        <v>4.03</v>
      </c>
      <c r="J28">
        <v>84.63</v>
      </c>
      <c r="K28" s="9">
        <v>43535</v>
      </c>
      <c r="L28" t="s">
        <v>82</v>
      </c>
      <c r="M28" t="s">
        <v>29</v>
      </c>
      <c r="N28">
        <v>80.599999999999994</v>
      </c>
      <c r="O28">
        <v>4.7619047620000003</v>
      </c>
      <c r="P28">
        <v>4.03</v>
      </c>
      <c r="Q28">
        <v>4.4000000000000004</v>
      </c>
      <c r="R28" t="s">
        <v>38</v>
      </c>
    </row>
    <row r="29" spans="1:18" x14ac:dyDescent="0.25">
      <c r="A29" t="s">
        <v>83</v>
      </c>
      <c r="B29" t="s">
        <v>32</v>
      </c>
      <c r="C29" t="s">
        <v>33</v>
      </c>
      <c r="D29" t="s">
        <v>25</v>
      </c>
      <c r="E29" t="s">
        <v>26</v>
      </c>
      <c r="F29" t="s">
        <v>35</v>
      </c>
      <c r="G29">
        <v>86.04</v>
      </c>
      <c r="H29">
        <v>5</v>
      </c>
      <c r="I29">
        <v>21.51</v>
      </c>
      <c r="J29">
        <v>451.71</v>
      </c>
      <c r="K29" s="9">
        <v>43521</v>
      </c>
      <c r="L29" t="s">
        <v>84</v>
      </c>
      <c r="M29" t="s">
        <v>29</v>
      </c>
      <c r="N29">
        <v>430.2</v>
      </c>
      <c r="O29">
        <v>4.7619047620000003</v>
      </c>
      <c r="P29">
        <v>21.51</v>
      </c>
      <c r="Q29">
        <v>4.8</v>
      </c>
      <c r="R29" t="s">
        <v>48</v>
      </c>
    </row>
    <row r="30" spans="1:18" x14ac:dyDescent="0.25">
      <c r="A30" t="s">
        <v>85</v>
      </c>
      <c r="B30" t="s">
        <v>58</v>
      </c>
      <c r="C30" t="s">
        <v>59</v>
      </c>
      <c r="D30" t="s">
        <v>25</v>
      </c>
      <c r="E30" t="s">
        <v>26</v>
      </c>
      <c r="F30" t="s">
        <v>27</v>
      </c>
      <c r="G30">
        <v>87.98</v>
      </c>
      <c r="H30">
        <v>3</v>
      </c>
      <c r="I30">
        <v>13.196999999999999</v>
      </c>
      <c r="J30">
        <v>277.137</v>
      </c>
      <c r="K30" s="9">
        <v>43529</v>
      </c>
      <c r="L30" t="s">
        <v>86</v>
      </c>
      <c r="M30" t="s">
        <v>29</v>
      </c>
      <c r="N30">
        <v>263.94</v>
      </c>
      <c r="O30">
        <v>4.7619047620000003</v>
      </c>
      <c r="P30">
        <v>13.196999999999999</v>
      </c>
      <c r="Q30">
        <v>5.0999999999999996</v>
      </c>
      <c r="R30" t="s">
        <v>38</v>
      </c>
    </row>
    <row r="31" spans="1:18" x14ac:dyDescent="0.25">
      <c r="A31" t="s">
        <v>87</v>
      </c>
      <c r="B31" t="s">
        <v>58</v>
      </c>
      <c r="C31" t="s">
        <v>59</v>
      </c>
      <c r="D31" t="s">
        <v>25</v>
      </c>
      <c r="E31" t="s">
        <v>26</v>
      </c>
      <c r="F31" t="s">
        <v>40</v>
      </c>
      <c r="G31">
        <v>33.200000000000003</v>
      </c>
      <c r="H31">
        <v>2</v>
      </c>
      <c r="I31">
        <v>3.32</v>
      </c>
      <c r="J31">
        <v>69.72</v>
      </c>
      <c r="K31" s="9">
        <v>43539</v>
      </c>
      <c r="L31" t="s">
        <v>88</v>
      </c>
      <c r="M31" t="s">
        <v>42</v>
      </c>
      <c r="N31">
        <v>66.400000000000006</v>
      </c>
      <c r="O31">
        <v>4.7619047620000003</v>
      </c>
      <c r="P31">
        <v>3.32</v>
      </c>
      <c r="Q31">
        <v>4.4000000000000004</v>
      </c>
      <c r="R31" t="s">
        <v>38</v>
      </c>
    </row>
    <row r="32" spans="1:18" x14ac:dyDescent="0.25">
      <c r="A32" t="s">
        <v>89</v>
      </c>
      <c r="B32" t="s">
        <v>23</v>
      </c>
      <c r="C32" t="s">
        <v>24</v>
      </c>
      <c r="D32" t="s">
        <v>25</v>
      </c>
      <c r="E32" t="s">
        <v>26</v>
      </c>
      <c r="F32" t="s">
        <v>35</v>
      </c>
      <c r="G32">
        <v>34.56</v>
      </c>
      <c r="H32">
        <v>5</v>
      </c>
      <c r="I32">
        <v>8.64</v>
      </c>
      <c r="J32">
        <v>181.44</v>
      </c>
      <c r="K32" s="9">
        <v>43513</v>
      </c>
      <c r="L32" t="s">
        <v>90</v>
      </c>
      <c r="M32" t="s">
        <v>29</v>
      </c>
      <c r="N32">
        <v>172.8</v>
      </c>
      <c r="O32">
        <v>4.7619047620000003</v>
      </c>
      <c r="P32">
        <v>8.64</v>
      </c>
      <c r="Q32">
        <v>9.9</v>
      </c>
      <c r="R32" t="s">
        <v>48</v>
      </c>
    </row>
    <row r="33" spans="1:18" x14ac:dyDescent="0.25">
      <c r="A33" t="s">
        <v>91</v>
      </c>
      <c r="B33" t="s">
        <v>23</v>
      </c>
      <c r="C33" t="s">
        <v>24</v>
      </c>
      <c r="D33" t="s">
        <v>25</v>
      </c>
      <c r="E33" t="s">
        <v>26</v>
      </c>
      <c r="F33" t="s">
        <v>46</v>
      </c>
      <c r="G33">
        <v>88.63</v>
      </c>
      <c r="H33">
        <v>3</v>
      </c>
      <c r="I33">
        <v>13.294499999999999</v>
      </c>
      <c r="J33">
        <v>279.18450000000001</v>
      </c>
      <c r="K33" s="9">
        <v>43526</v>
      </c>
      <c r="L33" t="s">
        <v>92</v>
      </c>
      <c r="M33" t="s">
        <v>29</v>
      </c>
      <c r="N33">
        <v>265.89</v>
      </c>
      <c r="O33">
        <v>4.7619047620000003</v>
      </c>
      <c r="P33">
        <v>13.294499999999999</v>
      </c>
      <c r="Q33">
        <v>6</v>
      </c>
      <c r="R33" t="s">
        <v>38</v>
      </c>
    </row>
    <row r="34" spans="1:18" x14ac:dyDescent="0.25">
      <c r="A34" t="s">
        <v>93</v>
      </c>
      <c r="B34" t="s">
        <v>23</v>
      </c>
      <c r="C34" t="s">
        <v>24</v>
      </c>
      <c r="D34" t="s">
        <v>25</v>
      </c>
      <c r="E34" t="s">
        <v>26</v>
      </c>
      <c r="F34" t="s">
        <v>40</v>
      </c>
      <c r="G34">
        <v>52.59</v>
      </c>
      <c r="H34">
        <v>8</v>
      </c>
      <c r="I34">
        <v>21.036000000000001</v>
      </c>
      <c r="J34">
        <v>441.75599999999997</v>
      </c>
      <c r="K34" s="9">
        <v>43546</v>
      </c>
      <c r="L34" t="s">
        <v>94</v>
      </c>
      <c r="M34" t="s">
        <v>42</v>
      </c>
      <c r="N34">
        <v>420.72</v>
      </c>
      <c r="O34">
        <v>4.7619047620000003</v>
      </c>
      <c r="P34">
        <v>21.036000000000001</v>
      </c>
      <c r="Q34">
        <v>8.5</v>
      </c>
      <c r="R34" t="s">
        <v>38</v>
      </c>
    </row>
    <row r="35" spans="1:18" x14ac:dyDescent="0.25">
      <c r="A35" t="s">
        <v>95</v>
      </c>
      <c r="B35" t="s">
        <v>58</v>
      </c>
      <c r="C35" t="s">
        <v>59</v>
      </c>
      <c r="D35" t="s">
        <v>25</v>
      </c>
      <c r="E35" t="s">
        <v>26</v>
      </c>
      <c r="F35" t="s">
        <v>63</v>
      </c>
      <c r="G35">
        <v>33.520000000000003</v>
      </c>
      <c r="H35">
        <v>1</v>
      </c>
      <c r="I35">
        <v>1.6759999999999999</v>
      </c>
      <c r="J35">
        <v>35.195999999999998</v>
      </c>
      <c r="K35" s="9">
        <v>43504</v>
      </c>
      <c r="L35" t="s">
        <v>96</v>
      </c>
      <c r="M35" t="s">
        <v>37</v>
      </c>
      <c r="N35">
        <v>33.520000000000003</v>
      </c>
      <c r="O35">
        <v>4.7619047620000003</v>
      </c>
      <c r="P35">
        <v>1.6759999999999999</v>
      </c>
      <c r="Q35">
        <v>6.7</v>
      </c>
      <c r="R35" t="s">
        <v>48</v>
      </c>
    </row>
    <row r="36" spans="1:18" x14ac:dyDescent="0.25">
      <c r="A36" t="s">
        <v>97</v>
      </c>
      <c r="B36" t="s">
        <v>23</v>
      </c>
      <c r="C36" t="s">
        <v>24</v>
      </c>
      <c r="D36" t="s">
        <v>25</v>
      </c>
      <c r="E36" t="s">
        <v>26</v>
      </c>
      <c r="F36" t="s">
        <v>63</v>
      </c>
      <c r="G36">
        <v>87.67</v>
      </c>
      <c r="H36">
        <v>2</v>
      </c>
      <c r="I36">
        <v>8.7669999999999995</v>
      </c>
      <c r="J36">
        <v>184.107</v>
      </c>
      <c r="K36" s="9">
        <v>43534</v>
      </c>
      <c r="L36" t="s">
        <v>98</v>
      </c>
      <c r="M36" t="s">
        <v>42</v>
      </c>
      <c r="N36">
        <v>175.34</v>
      </c>
      <c r="O36">
        <v>4.7619047620000003</v>
      </c>
      <c r="P36">
        <v>8.7669999999999995</v>
      </c>
      <c r="Q36">
        <v>7.7</v>
      </c>
      <c r="R36" t="s">
        <v>38</v>
      </c>
    </row>
    <row r="37" spans="1:18" x14ac:dyDescent="0.25">
      <c r="A37" t="s">
        <v>99</v>
      </c>
      <c r="B37" t="s">
        <v>58</v>
      </c>
      <c r="C37" t="s">
        <v>59</v>
      </c>
      <c r="D37" t="s">
        <v>25</v>
      </c>
      <c r="E37" t="s">
        <v>26</v>
      </c>
      <c r="F37" t="s">
        <v>60</v>
      </c>
      <c r="G37">
        <v>88.36</v>
      </c>
      <c r="H37">
        <v>5</v>
      </c>
      <c r="I37">
        <v>22.09</v>
      </c>
      <c r="J37">
        <v>463.89</v>
      </c>
      <c r="K37" s="9">
        <v>43490</v>
      </c>
      <c r="L37" t="s">
        <v>100</v>
      </c>
      <c r="M37" t="s">
        <v>37</v>
      </c>
      <c r="N37">
        <v>441.8</v>
      </c>
      <c r="O37">
        <v>4.7619047620000003</v>
      </c>
      <c r="P37">
        <v>22.09</v>
      </c>
      <c r="Q37">
        <v>9.6</v>
      </c>
      <c r="R37" t="s">
        <v>30</v>
      </c>
    </row>
    <row r="38" spans="1:18" x14ac:dyDescent="0.25">
      <c r="A38" t="s">
        <v>101</v>
      </c>
      <c r="B38" t="s">
        <v>23</v>
      </c>
      <c r="C38" t="s">
        <v>24</v>
      </c>
      <c r="D38" t="s">
        <v>25</v>
      </c>
      <c r="E38" t="s">
        <v>26</v>
      </c>
      <c r="F38" t="s">
        <v>27</v>
      </c>
      <c r="G38">
        <v>24.89</v>
      </c>
      <c r="H38">
        <v>9</v>
      </c>
      <c r="I38">
        <v>11.2005</v>
      </c>
      <c r="J38">
        <v>235.2105</v>
      </c>
      <c r="K38" s="9">
        <v>43539</v>
      </c>
      <c r="L38" t="s">
        <v>102</v>
      </c>
      <c r="M38" t="s">
        <v>37</v>
      </c>
      <c r="N38">
        <v>224.01</v>
      </c>
      <c r="O38">
        <v>4.7619047620000003</v>
      </c>
      <c r="P38">
        <v>11.2005</v>
      </c>
      <c r="Q38">
        <v>7.4</v>
      </c>
      <c r="R38" t="s">
        <v>38</v>
      </c>
    </row>
    <row r="39" spans="1:18" x14ac:dyDescent="0.25">
      <c r="A39" t="s">
        <v>103</v>
      </c>
      <c r="B39" t="s">
        <v>58</v>
      </c>
      <c r="C39" t="s">
        <v>59</v>
      </c>
      <c r="D39" t="s">
        <v>25</v>
      </c>
      <c r="E39" t="s">
        <v>26</v>
      </c>
      <c r="F39" t="s">
        <v>63</v>
      </c>
      <c r="G39">
        <v>94.13</v>
      </c>
      <c r="H39">
        <v>5</v>
      </c>
      <c r="I39">
        <v>23.532499999999999</v>
      </c>
      <c r="J39">
        <v>494.1825</v>
      </c>
      <c r="K39" s="9">
        <v>43521</v>
      </c>
      <c r="L39" t="s">
        <v>104</v>
      </c>
      <c r="M39" t="s">
        <v>42</v>
      </c>
      <c r="N39">
        <v>470.65</v>
      </c>
      <c r="O39">
        <v>4.7619047620000003</v>
      </c>
      <c r="P39">
        <v>23.532499999999999</v>
      </c>
      <c r="Q39">
        <v>4.8</v>
      </c>
      <c r="R39" t="s">
        <v>48</v>
      </c>
    </row>
    <row r="40" spans="1:18" x14ac:dyDescent="0.25">
      <c r="A40" t="s">
        <v>105</v>
      </c>
      <c r="B40" t="s">
        <v>58</v>
      </c>
      <c r="C40" t="s">
        <v>59</v>
      </c>
      <c r="D40" t="s">
        <v>25</v>
      </c>
      <c r="E40" t="s">
        <v>26</v>
      </c>
      <c r="F40" t="s">
        <v>46</v>
      </c>
      <c r="G40">
        <v>78.069999999999993</v>
      </c>
      <c r="H40">
        <v>9</v>
      </c>
      <c r="I40">
        <v>35.131500000000003</v>
      </c>
      <c r="J40">
        <v>737.76149999999996</v>
      </c>
      <c r="K40" s="9">
        <v>43493</v>
      </c>
      <c r="L40" t="s">
        <v>106</v>
      </c>
      <c r="M40" t="s">
        <v>37</v>
      </c>
      <c r="N40">
        <v>702.63</v>
      </c>
      <c r="O40">
        <v>4.7619047620000003</v>
      </c>
      <c r="P40">
        <v>35.131500000000003</v>
      </c>
      <c r="Q40">
        <v>4.5</v>
      </c>
      <c r="R40" t="s">
        <v>30</v>
      </c>
    </row>
    <row r="41" spans="1:18" x14ac:dyDescent="0.25">
      <c r="A41" t="s">
        <v>107</v>
      </c>
      <c r="B41" t="s">
        <v>58</v>
      </c>
      <c r="C41" t="s">
        <v>59</v>
      </c>
      <c r="D41" t="s">
        <v>25</v>
      </c>
      <c r="E41" t="s">
        <v>26</v>
      </c>
      <c r="F41" t="s">
        <v>46</v>
      </c>
      <c r="G41">
        <v>83.78</v>
      </c>
      <c r="H41">
        <v>8</v>
      </c>
      <c r="I41">
        <v>33.512</v>
      </c>
      <c r="J41">
        <v>703.75199999999995</v>
      </c>
      <c r="K41" s="9">
        <v>43475</v>
      </c>
      <c r="L41" t="s">
        <v>108</v>
      </c>
      <c r="M41" t="s">
        <v>37</v>
      </c>
      <c r="N41">
        <v>670.24</v>
      </c>
      <c r="O41">
        <v>4.7619047620000003</v>
      </c>
      <c r="P41">
        <v>33.512</v>
      </c>
      <c r="Q41">
        <v>5.0999999999999996</v>
      </c>
      <c r="R41" t="s">
        <v>30</v>
      </c>
    </row>
    <row r="42" spans="1:18" x14ac:dyDescent="0.25">
      <c r="A42" t="s">
        <v>109</v>
      </c>
      <c r="B42" t="s">
        <v>23</v>
      </c>
      <c r="C42" t="s">
        <v>24</v>
      </c>
      <c r="D42" t="s">
        <v>25</v>
      </c>
      <c r="E42" t="s">
        <v>26</v>
      </c>
      <c r="F42" t="s">
        <v>27</v>
      </c>
      <c r="G42">
        <v>96.58</v>
      </c>
      <c r="H42">
        <v>2</v>
      </c>
      <c r="I42">
        <v>9.6579999999999995</v>
      </c>
      <c r="J42">
        <v>202.81800000000001</v>
      </c>
      <c r="K42" s="9">
        <v>43539</v>
      </c>
      <c r="L42" t="s">
        <v>110</v>
      </c>
      <c r="M42" t="s">
        <v>42</v>
      </c>
      <c r="N42">
        <v>193.16</v>
      </c>
      <c r="O42">
        <v>4.7619047620000003</v>
      </c>
      <c r="P42">
        <v>9.6579999999999995</v>
      </c>
      <c r="Q42">
        <v>5.0999999999999996</v>
      </c>
      <c r="R42" t="s">
        <v>38</v>
      </c>
    </row>
    <row r="43" spans="1:18" x14ac:dyDescent="0.25">
      <c r="A43" t="s">
        <v>111</v>
      </c>
      <c r="B43" t="s">
        <v>32</v>
      </c>
      <c r="C43" t="s">
        <v>33</v>
      </c>
      <c r="D43" t="s">
        <v>25</v>
      </c>
      <c r="E43" t="s">
        <v>26</v>
      </c>
      <c r="F43" t="s">
        <v>60</v>
      </c>
      <c r="G43">
        <v>99.42</v>
      </c>
      <c r="H43">
        <v>4</v>
      </c>
      <c r="I43">
        <v>19.884</v>
      </c>
      <c r="J43">
        <v>417.56400000000002</v>
      </c>
      <c r="K43" s="9">
        <v>43502</v>
      </c>
      <c r="L43" t="s">
        <v>112</v>
      </c>
      <c r="M43" t="s">
        <v>29</v>
      </c>
      <c r="N43">
        <v>397.68</v>
      </c>
      <c r="O43">
        <v>4.7619047620000003</v>
      </c>
      <c r="P43">
        <v>19.884</v>
      </c>
      <c r="Q43">
        <v>7.5</v>
      </c>
      <c r="R43" t="s">
        <v>48</v>
      </c>
    </row>
    <row r="44" spans="1:18" x14ac:dyDescent="0.25">
      <c r="A44" t="s">
        <v>113</v>
      </c>
      <c r="B44" t="s">
        <v>32</v>
      </c>
      <c r="C44" t="s">
        <v>33</v>
      </c>
      <c r="D44" t="s">
        <v>25</v>
      </c>
      <c r="E44" t="s">
        <v>26</v>
      </c>
      <c r="F44" t="s">
        <v>46</v>
      </c>
      <c r="G44">
        <v>68.12</v>
      </c>
      <c r="H44">
        <v>1</v>
      </c>
      <c r="I44">
        <v>3.4060000000000001</v>
      </c>
      <c r="J44">
        <v>71.525999999999996</v>
      </c>
      <c r="K44" s="9">
        <v>43472</v>
      </c>
      <c r="L44" t="s">
        <v>114</v>
      </c>
      <c r="M44" t="s">
        <v>29</v>
      </c>
      <c r="N44">
        <v>68.12</v>
      </c>
      <c r="O44">
        <v>4.7619047620000003</v>
      </c>
      <c r="P44">
        <v>3.4060000000000001</v>
      </c>
      <c r="Q44">
        <v>6.8</v>
      </c>
      <c r="R44" t="s">
        <v>30</v>
      </c>
    </row>
    <row r="45" spans="1:18" x14ac:dyDescent="0.25">
      <c r="A45" t="s">
        <v>115</v>
      </c>
      <c r="B45" t="s">
        <v>23</v>
      </c>
      <c r="C45" t="s">
        <v>24</v>
      </c>
      <c r="D45" t="s">
        <v>25</v>
      </c>
      <c r="E45" t="s">
        <v>26</v>
      </c>
      <c r="F45" t="s">
        <v>46</v>
      </c>
      <c r="G45">
        <v>62.62</v>
      </c>
      <c r="H45">
        <v>5</v>
      </c>
      <c r="I45">
        <v>15.654999999999999</v>
      </c>
      <c r="J45">
        <v>328.755</v>
      </c>
      <c r="K45" s="9">
        <v>43534</v>
      </c>
      <c r="L45" t="s">
        <v>116</v>
      </c>
      <c r="M45" t="s">
        <v>29</v>
      </c>
      <c r="N45">
        <v>313.10000000000002</v>
      </c>
      <c r="O45">
        <v>4.7619047620000003</v>
      </c>
      <c r="P45">
        <v>15.654999999999999</v>
      </c>
      <c r="Q45">
        <v>7</v>
      </c>
      <c r="R45" t="s">
        <v>38</v>
      </c>
    </row>
    <row r="46" spans="1:18" x14ac:dyDescent="0.25">
      <c r="A46" t="s">
        <v>117</v>
      </c>
      <c r="B46" t="s">
        <v>23</v>
      </c>
      <c r="C46" t="s">
        <v>24</v>
      </c>
      <c r="D46" t="s">
        <v>25</v>
      </c>
      <c r="E46" t="s">
        <v>26</v>
      </c>
      <c r="F46" t="s">
        <v>35</v>
      </c>
      <c r="G46">
        <v>60.88</v>
      </c>
      <c r="H46">
        <v>9</v>
      </c>
      <c r="I46">
        <v>27.396000000000001</v>
      </c>
      <c r="J46">
        <v>575.31600000000003</v>
      </c>
      <c r="K46" s="9">
        <v>43480</v>
      </c>
      <c r="L46" t="s">
        <v>118</v>
      </c>
      <c r="M46" t="s">
        <v>29</v>
      </c>
      <c r="N46">
        <v>547.91999999999996</v>
      </c>
      <c r="O46">
        <v>4.7619047620000003</v>
      </c>
      <c r="P46">
        <v>27.396000000000001</v>
      </c>
      <c r="Q46">
        <v>4.7</v>
      </c>
      <c r="R46" t="s">
        <v>30</v>
      </c>
    </row>
    <row r="47" spans="1:18" x14ac:dyDescent="0.25">
      <c r="A47" t="s">
        <v>119</v>
      </c>
      <c r="B47" t="s">
        <v>32</v>
      </c>
      <c r="C47" t="s">
        <v>33</v>
      </c>
      <c r="D47" t="s">
        <v>25</v>
      </c>
      <c r="E47" t="s">
        <v>26</v>
      </c>
      <c r="F47" t="s">
        <v>27</v>
      </c>
      <c r="G47">
        <v>54.92</v>
      </c>
      <c r="H47">
        <v>8</v>
      </c>
      <c r="I47">
        <v>21.968</v>
      </c>
      <c r="J47">
        <v>461.32799999999997</v>
      </c>
      <c r="K47" s="9">
        <v>43547</v>
      </c>
      <c r="L47" t="s">
        <v>120</v>
      </c>
      <c r="M47" t="s">
        <v>29</v>
      </c>
      <c r="N47">
        <v>439.36</v>
      </c>
      <c r="O47">
        <v>4.7619047620000003</v>
      </c>
      <c r="P47">
        <v>21.968</v>
      </c>
      <c r="Q47">
        <v>7.6</v>
      </c>
      <c r="R47" t="s">
        <v>38</v>
      </c>
    </row>
    <row r="48" spans="1:18" x14ac:dyDescent="0.25">
      <c r="A48" t="s">
        <v>121</v>
      </c>
      <c r="B48" t="s">
        <v>58</v>
      </c>
      <c r="C48" t="s">
        <v>59</v>
      </c>
      <c r="D48" t="s">
        <v>25</v>
      </c>
      <c r="E48" t="s">
        <v>26</v>
      </c>
      <c r="F48" t="s">
        <v>40</v>
      </c>
      <c r="G48">
        <v>30.12</v>
      </c>
      <c r="H48">
        <v>8</v>
      </c>
      <c r="I48">
        <v>12.048</v>
      </c>
      <c r="J48">
        <v>253.00800000000001</v>
      </c>
      <c r="K48" s="9">
        <v>43527</v>
      </c>
      <c r="L48" t="s">
        <v>122</v>
      </c>
      <c r="M48" t="s">
        <v>37</v>
      </c>
      <c r="N48">
        <v>240.96</v>
      </c>
      <c r="O48">
        <v>4.7619047620000003</v>
      </c>
      <c r="P48">
        <v>12.048</v>
      </c>
      <c r="Q48">
        <v>7.7</v>
      </c>
      <c r="R48" t="s">
        <v>38</v>
      </c>
    </row>
    <row r="49" spans="1:18" x14ac:dyDescent="0.25">
      <c r="A49" t="s">
        <v>123</v>
      </c>
      <c r="B49" t="s">
        <v>58</v>
      </c>
      <c r="C49" t="s">
        <v>59</v>
      </c>
      <c r="D49" t="s">
        <v>25</v>
      </c>
      <c r="E49" t="s">
        <v>26</v>
      </c>
      <c r="F49" t="s">
        <v>40</v>
      </c>
      <c r="G49">
        <v>86.72</v>
      </c>
      <c r="H49">
        <v>1</v>
      </c>
      <c r="I49">
        <v>4.3360000000000003</v>
      </c>
      <c r="J49">
        <v>91.055999999999997</v>
      </c>
      <c r="K49" s="9">
        <v>43482</v>
      </c>
      <c r="L49" t="s">
        <v>124</v>
      </c>
      <c r="M49" t="s">
        <v>29</v>
      </c>
      <c r="N49">
        <v>86.72</v>
      </c>
      <c r="O49">
        <v>4.7619047620000003</v>
      </c>
      <c r="P49">
        <v>4.3360000000000003</v>
      </c>
      <c r="Q49">
        <v>7.9</v>
      </c>
      <c r="R49" t="s">
        <v>30</v>
      </c>
    </row>
    <row r="50" spans="1:18" x14ac:dyDescent="0.25">
      <c r="A50" t="s">
        <v>125</v>
      </c>
      <c r="B50" t="s">
        <v>32</v>
      </c>
      <c r="C50" t="s">
        <v>33</v>
      </c>
      <c r="D50" t="s">
        <v>25</v>
      </c>
      <c r="E50" t="s">
        <v>26</v>
      </c>
      <c r="F50" t="s">
        <v>40</v>
      </c>
      <c r="G50">
        <v>56.11</v>
      </c>
      <c r="H50">
        <v>2</v>
      </c>
      <c r="I50">
        <v>5.6109999999999998</v>
      </c>
      <c r="J50">
        <v>117.831</v>
      </c>
      <c r="K50" s="9">
        <v>43498</v>
      </c>
      <c r="L50" t="s">
        <v>126</v>
      </c>
      <c r="M50" t="s">
        <v>37</v>
      </c>
      <c r="N50">
        <v>112.22</v>
      </c>
      <c r="O50">
        <v>4.7619047620000003</v>
      </c>
      <c r="P50">
        <v>5.6109999999999998</v>
      </c>
      <c r="Q50">
        <v>6.3</v>
      </c>
      <c r="R50" t="s">
        <v>48</v>
      </c>
    </row>
    <row r="51" spans="1:18" x14ac:dyDescent="0.25">
      <c r="A51" t="s">
        <v>127</v>
      </c>
      <c r="B51" t="s">
        <v>58</v>
      </c>
      <c r="C51" t="s">
        <v>59</v>
      </c>
      <c r="D51" t="s">
        <v>25</v>
      </c>
      <c r="E51" t="s">
        <v>26</v>
      </c>
      <c r="F51" t="s">
        <v>46</v>
      </c>
      <c r="G51">
        <v>69.12</v>
      </c>
      <c r="H51">
        <v>6</v>
      </c>
      <c r="I51">
        <v>20.736000000000001</v>
      </c>
      <c r="J51">
        <v>435.45600000000002</v>
      </c>
      <c r="K51" s="9">
        <v>43504</v>
      </c>
      <c r="L51" t="s">
        <v>128</v>
      </c>
      <c r="M51" t="s">
        <v>37</v>
      </c>
      <c r="N51">
        <v>414.72</v>
      </c>
      <c r="O51">
        <v>4.7619047620000003</v>
      </c>
      <c r="P51">
        <v>20.736000000000001</v>
      </c>
      <c r="Q51">
        <v>5.6</v>
      </c>
      <c r="R51" t="s">
        <v>48</v>
      </c>
    </row>
    <row r="52" spans="1:18" x14ac:dyDescent="0.25">
      <c r="A52" t="s">
        <v>129</v>
      </c>
      <c r="B52" t="s">
        <v>32</v>
      </c>
      <c r="C52" t="s">
        <v>33</v>
      </c>
      <c r="D52" t="s">
        <v>25</v>
      </c>
      <c r="E52" t="s">
        <v>26</v>
      </c>
      <c r="F52" t="s">
        <v>60</v>
      </c>
      <c r="G52">
        <v>98.7</v>
      </c>
      <c r="H52">
        <v>8</v>
      </c>
      <c r="I52">
        <v>39.479999999999997</v>
      </c>
      <c r="J52">
        <v>829.08</v>
      </c>
      <c r="K52" s="9">
        <v>43528</v>
      </c>
      <c r="L52" t="s">
        <v>130</v>
      </c>
      <c r="M52" t="s">
        <v>37</v>
      </c>
      <c r="N52">
        <v>789.6</v>
      </c>
      <c r="O52">
        <v>4.7619047620000003</v>
      </c>
      <c r="P52">
        <v>39.479999999999997</v>
      </c>
      <c r="Q52">
        <v>7.6</v>
      </c>
      <c r="R52" t="s">
        <v>38</v>
      </c>
    </row>
    <row r="53" spans="1:18" x14ac:dyDescent="0.25">
      <c r="A53" t="s">
        <v>131</v>
      </c>
      <c r="B53" t="s">
        <v>32</v>
      </c>
      <c r="C53" t="s">
        <v>33</v>
      </c>
      <c r="D53" t="s">
        <v>25</v>
      </c>
      <c r="E53" t="s">
        <v>26</v>
      </c>
      <c r="F53" t="s">
        <v>27</v>
      </c>
      <c r="G53">
        <v>15.37</v>
      </c>
      <c r="H53">
        <v>2</v>
      </c>
      <c r="I53">
        <v>1.5369999999999999</v>
      </c>
      <c r="J53">
        <v>32.277000000000001</v>
      </c>
      <c r="K53" s="9">
        <v>43540</v>
      </c>
      <c r="L53" t="s">
        <v>132</v>
      </c>
      <c r="M53" t="s">
        <v>37</v>
      </c>
      <c r="N53">
        <v>30.74</v>
      </c>
      <c r="O53">
        <v>4.7619047620000003</v>
      </c>
      <c r="P53">
        <v>1.5369999999999999</v>
      </c>
      <c r="Q53">
        <v>7.2</v>
      </c>
      <c r="R53" t="s">
        <v>38</v>
      </c>
    </row>
    <row r="54" spans="1:18" x14ac:dyDescent="0.25">
      <c r="A54" t="s">
        <v>133</v>
      </c>
      <c r="B54" t="s">
        <v>58</v>
      </c>
      <c r="C54" t="s">
        <v>59</v>
      </c>
      <c r="D54" t="s">
        <v>25</v>
      </c>
      <c r="E54" t="s">
        <v>26</v>
      </c>
      <c r="F54" t="s">
        <v>35</v>
      </c>
      <c r="G54">
        <v>93.96</v>
      </c>
      <c r="H54">
        <v>4</v>
      </c>
      <c r="I54">
        <v>18.792000000000002</v>
      </c>
      <c r="J54">
        <v>394.63200000000001</v>
      </c>
      <c r="K54" s="9">
        <v>43533</v>
      </c>
      <c r="L54" t="s">
        <v>80</v>
      </c>
      <c r="M54" t="s">
        <v>37</v>
      </c>
      <c r="N54">
        <v>375.84</v>
      </c>
      <c r="O54">
        <v>4.7619047620000003</v>
      </c>
      <c r="P54">
        <v>18.792000000000002</v>
      </c>
      <c r="Q54">
        <v>9.5</v>
      </c>
      <c r="R54" t="s">
        <v>38</v>
      </c>
    </row>
    <row r="55" spans="1:18" x14ac:dyDescent="0.25">
      <c r="A55" t="s">
        <v>134</v>
      </c>
      <c r="B55" t="s">
        <v>58</v>
      </c>
      <c r="C55" t="s">
        <v>59</v>
      </c>
      <c r="D55" t="s">
        <v>25</v>
      </c>
      <c r="E55" t="s">
        <v>26</v>
      </c>
      <c r="F55" t="s">
        <v>27</v>
      </c>
      <c r="G55">
        <v>56.69</v>
      </c>
      <c r="H55">
        <v>9</v>
      </c>
      <c r="I55">
        <v>25.5105</v>
      </c>
      <c r="J55">
        <v>535.72050000000002</v>
      </c>
      <c r="K55" s="9">
        <v>43523</v>
      </c>
      <c r="L55" t="s">
        <v>135</v>
      </c>
      <c r="M55" t="s">
        <v>42</v>
      </c>
      <c r="N55">
        <v>510.21</v>
      </c>
      <c r="O55">
        <v>4.7619047620000003</v>
      </c>
      <c r="P55">
        <v>25.5105</v>
      </c>
      <c r="Q55">
        <v>8.4</v>
      </c>
      <c r="R55" t="s">
        <v>48</v>
      </c>
    </row>
    <row r="56" spans="1:18" x14ac:dyDescent="0.25">
      <c r="A56" t="s">
        <v>136</v>
      </c>
      <c r="B56" t="s">
        <v>58</v>
      </c>
      <c r="C56" t="s">
        <v>59</v>
      </c>
      <c r="D56" t="s">
        <v>25</v>
      </c>
      <c r="E56" t="s">
        <v>26</v>
      </c>
      <c r="F56" t="s">
        <v>60</v>
      </c>
      <c r="G56">
        <v>20.010000000000002</v>
      </c>
      <c r="H56">
        <v>9</v>
      </c>
      <c r="I56">
        <v>9.0045000000000002</v>
      </c>
      <c r="J56">
        <v>189.09450000000001</v>
      </c>
      <c r="K56" s="9">
        <v>43502</v>
      </c>
      <c r="L56" t="s">
        <v>137</v>
      </c>
      <c r="M56" t="s">
        <v>29</v>
      </c>
      <c r="N56">
        <v>180.09</v>
      </c>
      <c r="O56">
        <v>4.7619047620000003</v>
      </c>
      <c r="P56">
        <v>9.0045000000000002</v>
      </c>
      <c r="Q56">
        <v>4.0999999999999996</v>
      </c>
      <c r="R56" t="s">
        <v>48</v>
      </c>
    </row>
    <row r="57" spans="1:18" x14ac:dyDescent="0.25">
      <c r="A57" t="s">
        <v>138</v>
      </c>
      <c r="B57" t="s">
        <v>58</v>
      </c>
      <c r="C57" t="s">
        <v>59</v>
      </c>
      <c r="D57" t="s">
        <v>25</v>
      </c>
      <c r="E57" t="s">
        <v>26</v>
      </c>
      <c r="F57" t="s">
        <v>35</v>
      </c>
      <c r="G57">
        <v>18.93</v>
      </c>
      <c r="H57">
        <v>6</v>
      </c>
      <c r="I57">
        <v>5.6790000000000003</v>
      </c>
      <c r="J57">
        <v>119.259</v>
      </c>
      <c r="K57" s="9">
        <v>43506</v>
      </c>
      <c r="L57" t="s">
        <v>139</v>
      </c>
      <c r="M57" t="s">
        <v>42</v>
      </c>
      <c r="N57">
        <v>113.58</v>
      </c>
      <c r="O57">
        <v>4.7619047620000003</v>
      </c>
      <c r="P57">
        <v>5.6790000000000003</v>
      </c>
      <c r="Q57">
        <v>8.1</v>
      </c>
      <c r="R57" t="s">
        <v>48</v>
      </c>
    </row>
    <row r="58" spans="1:18" x14ac:dyDescent="0.25">
      <c r="A58" t="s">
        <v>140</v>
      </c>
      <c r="B58" t="s">
        <v>32</v>
      </c>
      <c r="C58" t="s">
        <v>33</v>
      </c>
      <c r="D58" t="s">
        <v>25</v>
      </c>
      <c r="E58" t="s">
        <v>26</v>
      </c>
      <c r="F58" t="s">
        <v>63</v>
      </c>
      <c r="G58">
        <v>82.63</v>
      </c>
      <c r="H58">
        <v>10</v>
      </c>
      <c r="I58">
        <v>41.314999999999998</v>
      </c>
      <c r="J58">
        <v>867.61500000000001</v>
      </c>
      <c r="K58" s="9">
        <v>43543</v>
      </c>
      <c r="L58" t="s">
        <v>141</v>
      </c>
      <c r="M58" t="s">
        <v>29</v>
      </c>
      <c r="N58">
        <v>826.3</v>
      </c>
      <c r="O58">
        <v>4.7619047620000003</v>
      </c>
      <c r="P58">
        <v>41.314999999999998</v>
      </c>
      <c r="Q58">
        <v>7.9</v>
      </c>
      <c r="R58" t="s">
        <v>38</v>
      </c>
    </row>
    <row r="59" spans="1:18" x14ac:dyDescent="0.25">
      <c r="A59" t="s">
        <v>142</v>
      </c>
      <c r="B59" t="s">
        <v>32</v>
      </c>
      <c r="C59" t="s">
        <v>33</v>
      </c>
      <c r="D59" t="s">
        <v>25</v>
      </c>
      <c r="E59" t="s">
        <v>26</v>
      </c>
      <c r="F59" t="s">
        <v>60</v>
      </c>
      <c r="G59">
        <v>91.4</v>
      </c>
      <c r="H59">
        <v>7</v>
      </c>
      <c r="I59">
        <v>31.99</v>
      </c>
      <c r="J59">
        <v>671.79</v>
      </c>
      <c r="K59" s="9">
        <v>43499</v>
      </c>
      <c r="L59" t="s">
        <v>143</v>
      </c>
      <c r="M59" t="s">
        <v>37</v>
      </c>
      <c r="N59">
        <v>639.79999999999995</v>
      </c>
      <c r="O59">
        <v>4.7619047620000003</v>
      </c>
      <c r="P59">
        <v>31.99</v>
      </c>
      <c r="Q59">
        <v>9.5</v>
      </c>
      <c r="R59" t="s">
        <v>48</v>
      </c>
    </row>
    <row r="60" spans="1:18" x14ac:dyDescent="0.25">
      <c r="A60" t="s">
        <v>144</v>
      </c>
      <c r="B60" t="s">
        <v>23</v>
      </c>
      <c r="C60" t="s">
        <v>24</v>
      </c>
      <c r="D60" t="s">
        <v>25</v>
      </c>
      <c r="E60" t="s">
        <v>26</v>
      </c>
      <c r="F60" t="s">
        <v>60</v>
      </c>
      <c r="G60">
        <v>44.59</v>
      </c>
      <c r="H60">
        <v>5</v>
      </c>
      <c r="I60">
        <v>11.147500000000001</v>
      </c>
      <c r="J60">
        <v>234.0975</v>
      </c>
      <c r="K60" s="9">
        <v>43506</v>
      </c>
      <c r="L60" t="s">
        <v>145</v>
      </c>
      <c r="M60" t="s">
        <v>37</v>
      </c>
      <c r="N60">
        <v>222.95</v>
      </c>
      <c r="O60">
        <v>4.7619047620000003</v>
      </c>
      <c r="P60">
        <v>11.147500000000001</v>
      </c>
      <c r="Q60">
        <v>8.5</v>
      </c>
      <c r="R60" t="s">
        <v>48</v>
      </c>
    </row>
    <row r="61" spans="1:18" x14ac:dyDescent="0.25">
      <c r="A61" t="s">
        <v>146</v>
      </c>
      <c r="B61" t="s">
        <v>58</v>
      </c>
      <c r="C61" t="s">
        <v>59</v>
      </c>
      <c r="D61" t="s">
        <v>25</v>
      </c>
      <c r="E61" t="s">
        <v>26</v>
      </c>
      <c r="F61" t="s">
        <v>63</v>
      </c>
      <c r="G61">
        <v>17.87</v>
      </c>
      <c r="H61">
        <v>4</v>
      </c>
      <c r="I61">
        <v>3.5739999999999998</v>
      </c>
      <c r="J61">
        <v>75.054000000000002</v>
      </c>
      <c r="K61" s="9">
        <v>43546</v>
      </c>
      <c r="L61" t="s">
        <v>147</v>
      </c>
      <c r="M61" t="s">
        <v>29</v>
      </c>
      <c r="N61">
        <v>71.48</v>
      </c>
      <c r="O61">
        <v>4.7619047620000003</v>
      </c>
      <c r="P61">
        <v>3.5739999999999998</v>
      </c>
      <c r="Q61">
        <v>6.5</v>
      </c>
      <c r="R61" t="s">
        <v>38</v>
      </c>
    </row>
    <row r="62" spans="1:18" x14ac:dyDescent="0.25">
      <c r="A62" t="s">
        <v>148</v>
      </c>
      <c r="B62" t="s">
        <v>32</v>
      </c>
      <c r="C62" t="s">
        <v>33</v>
      </c>
      <c r="D62" t="s">
        <v>25</v>
      </c>
      <c r="E62" t="s">
        <v>26</v>
      </c>
      <c r="F62" t="s">
        <v>63</v>
      </c>
      <c r="G62">
        <v>15.43</v>
      </c>
      <c r="H62">
        <v>1</v>
      </c>
      <c r="I62">
        <v>0.77149999999999996</v>
      </c>
      <c r="J62">
        <v>16.201499999999999</v>
      </c>
      <c r="K62" s="9">
        <v>43490</v>
      </c>
      <c r="L62" t="s">
        <v>149</v>
      </c>
      <c r="M62" t="s">
        <v>42</v>
      </c>
      <c r="N62">
        <v>15.43</v>
      </c>
      <c r="O62">
        <v>4.7619047620000003</v>
      </c>
      <c r="P62">
        <v>0.77149999999999996</v>
      </c>
      <c r="Q62">
        <v>6.1</v>
      </c>
      <c r="R62" t="s">
        <v>30</v>
      </c>
    </row>
    <row r="63" spans="1:18" x14ac:dyDescent="0.25">
      <c r="A63" t="s">
        <v>150</v>
      </c>
      <c r="B63" t="s">
        <v>58</v>
      </c>
      <c r="C63" t="s">
        <v>59</v>
      </c>
      <c r="D63" t="s">
        <v>25</v>
      </c>
      <c r="E63" t="s">
        <v>26</v>
      </c>
      <c r="F63" t="s">
        <v>40</v>
      </c>
      <c r="G63">
        <v>16.16</v>
      </c>
      <c r="H63">
        <v>2</v>
      </c>
      <c r="I63">
        <v>1.6160000000000001</v>
      </c>
      <c r="J63">
        <v>33.936</v>
      </c>
      <c r="K63" s="9">
        <v>43531</v>
      </c>
      <c r="L63" t="s">
        <v>151</v>
      </c>
      <c r="M63" t="s">
        <v>29</v>
      </c>
      <c r="N63">
        <v>32.32</v>
      </c>
      <c r="O63">
        <v>4.7619047620000003</v>
      </c>
      <c r="P63">
        <v>1.6160000000000001</v>
      </c>
      <c r="Q63">
        <v>6.5</v>
      </c>
      <c r="R63" t="s">
        <v>38</v>
      </c>
    </row>
    <row r="64" spans="1:18" x14ac:dyDescent="0.25">
      <c r="A64" t="s">
        <v>152</v>
      </c>
      <c r="B64" t="s">
        <v>32</v>
      </c>
      <c r="C64" t="s">
        <v>33</v>
      </c>
      <c r="D64" t="s">
        <v>25</v>
      </c>
      <c r="E64" t="s">
        <v>26</v>
      </c>
      <c r="F64" t="s">
        <v>35</v>
      </c>
      <c r="G64">
        <v>85.98</v>
      </c>
      <c r="H64">
        <v>8</v>
      </c>
      <c r="I64">
        <v>34.392000000000003</v>
      </c>
      <c r="J64">
        <v>722.23199999999997</v>
      </c>
      <c r="K64" s="9">
        <v>43524</v>
      </c>
      <c r="L64" t="s">
        <v>153</v>
      </c>
      <c r="M64" t="s">
        <v>37</v>
      </c>
      <c r="N64">
        <v>687.84</v>
      </c>
      <c r="O64">
        <v>4.7619047620000003</v>
      </c>
      <c r="P64">
        <v>34.392000000000003</v>
      </c>
      <c r="Q64">
        <v>8.1999999999999993</v>
      </c>
      <c r="R64" t="s">
        <v>48</v>
      </c>
    </row>
    <row r="65" spans="1:18" x14ac:dyDescent="0.25">
      <c r="A65" t="s">
        <v>154</v>
      </c>
      <c r="B65" t="s">
        <v>23</v>
      </c>
      <c r="C65" t="s">
        <v>24</v>
      </c>
      <c r="D65" t="s">
        <v>25</v>
      </c>
      <c r="E65" t="s">
        <v>26</v>
      </c>
      <c r="F65" t="s">
        <v>40</v>
      </c>
      <c r="G65">
        <v>44.34</v>
      </c>
      <c r="H65">
        <v>2</v>
      </c>
      <c r="I65">
        <v>4.4340000000000002</v>
      </c>
      <c r="J65">
        <v>93.114000000000004</v>
      </c>
      <c r="K65" s="9">
        <v>43551</v>
      </c>
      <c r="L65" t="s">
        <v>155</v>
      </c>
      <c r="M65" t="s">
        <v>37</v>
      </c>
      <c r="N65">
        <v>88.68</v>
      </c>
      <c r="O65">
        <v>4.7619047620000003</v>
      </c>
      <c r="P65">
        <v>4.4340000000000002</v>
      </c>
      <c r="Q65">
        <v>5.8</v>
      </c>
      <c r="R65" t="s">
        <v>38</v>
      </c>
    </row>
    <row r="66" spans="1:18" x14ac:dyDescent="0.25">
      <c r="A66" t="s">
        <v>156</v>
      </c>
      <c r="B66" t="s">
        <v>23</v>
      </c>
      <c r="C66" t="s">
        <v>24</v>
      </c>
      <c r="D66" t="s">
        <v>25</v>
      </c>
      <c r="E66" t="s">
        <v>26</v>
      </c>
      <c r="F66" t="s">
        <v>27</v>
      </c>
      <c r="G66">
        <v>89.6</v>
      </c>
      <c r="H66">
        <v>8</v>
      </c>
      <c r="I66">
        <v>35.840000000000003</v>
      </c>
      <c r="J66">
        <v>752.64</v>
      </c>
      <c r="K66" s="9">
        <v>43503</v>
      </c>
      <c r="L66" t="s">
        <v>157</v>
      </c>
      <c r="M66" t="s">
        <v>29</v>
      </c>
      <c r="N66">
        <v>716.8</v>
      </c>
      <c r="O66">
        <v>4.7619047620000003</v>
      </c>
      <c r="P66">
        <v>35.840000000000003</v>
      </c>
      <c r="Q66">
        <v>6.6</v>
      </c>
      <c r="R66" t="s">
        <v>48</v>
      </c>
    </row>
    <row r="67" spans="1:18" x14ac:dyDescent="0.25">
      <c r="A67" t="s">
        <v>158</v>
      </c>
      <c r="B67" t="s">
        <v>23</v>
      </c>
      <c r="C67" t="s">
        <v>24</v>
      </c>
      <c r="D67" t="s">
        <v>25</v>
      </c>
      <c r="E67" t="s">
        <v>26</v>
      </c>
      <c r="F67" t="s">
        <v>40</v>
      </c>
      <c r="G67">
        <v>72.349999999999994</v>
      </c>
      <c r="H67">
        <v>10</v>
      </c>
      <c r="I67">
        <v>36.174999999999997</v>
      </c>
      <c r="J67">
        <v>759.67499999999995</v>
      </c>
      <c r="K67" s="9">
        <v>43485</v>
      </c>
      <c r="L67" t="s">
        <v>159</v>
      </c>
      <c r="M67" t="s">
        <v>37</v>
      </c>
      <c r="N67">
        <v>723.5</v>
      </c>
      <c r="O67">
        <v>4.7619047620000003</v>
      </c>
      <c r="P67">
        <v>36.174999999999997</v>
      </c>
      <c r="Q67">
        <v>5.4</v>
      </c>
      <c r="R67" t="s">
        <v>30</v>
      </c>
    </row>
    <row r="68" spans="1:18" x14ac:dyDescent="0.25">
      <c r="A68" t="s">
        <v>160</v>
      </c>
      <c r="B68" t="s">
        <v>32</v>
      </c>
      <c r="C68" t="s">
        <v>33</v>
      </c>
      <c r="D68" t="s">
        <v>25</v>
      </c>
      <c r="E68" t="s">
        <v>26</v>
      </c>
      <c r="F68" t="s">
        <v>35</v>
      </c>
      <c r="G68">
        <v>30.61</v>
      </c>
      <c r="H68">
        <v>6</v>
      </c>
      <c r="I68">
        <v>9.1829999999999998</v>
      </c>
      <c r="J68">
        <v>192.84299999999999</v>
      </c>
      <c r="K68" s="9">
        <v>43536</v>
      </c>
      <c r="L68" t="s">
        <v>161</v>
      </c>
      <c r="M68" t="s">
        <v>37</v>
      </c>
      <c r="N68">
        <v>183.66</v>
      </c>
      <c r="O68">
        <v>4.7619047620000003</v>
      </c>
      <c r="P68">
        <v>9.1829999999999998</v>
      </c>
      <c r="Q68">
        <v>9.3000000000000007</v>
      </c>
      <c r="R68" t="s">
        <v>38</v>
      </c>
    </row>
    <row r="69" spans="1:18" x14ac:dyDescent="0.25">
      <c r="A69" t="s">
        <v>162</v>
      </c>
      <c r="B69" t="s">
        <v>32</v>
      </c>
      <c r="C69" t="s">
        <v>33</v>
      </c>
      <c r="D69" t="s">
        <v>25</v>
      </c>
      <c r="E69" t="s">
        <v>26</v>
      </c>
      <c r="F69" t="s">
        <v>46</v>
      </c>
      <c r="G69">
        <v>24.74</v>
      </c>
      <c r="H69">
        <v>3</v>
      </c>
      <c r="I69">
        <v>3.7109999999999999</v>
      </c>
      <c r="J69">
        <v>77.930999999999997</v>
      </c>
      <c r="K69" s="9">
        <v>43511</v>
      </c>
      <c r="L69" t="s">
        <v>163</v>
      </c>
      <c r="M69" t="s">
        <v>42</v>
      </c>
      <c r="N69">
        <v>74.22</v>
      </c>
      <c r="O69">
        <v>4.7619047620000003</v>
      </c>
      <c r="P69">
        <v>3.7109999999999999</v>
      </c>
      <c r="Q69">
        <v>10</v>
      </c>
      <c r="R69" t="s">
        <v>48</v>
      </c>
    </row>
    <row r="70" spans="1:18" x14ac:dyDescent="0.25">
      <c r="A70" t="s">
        <v>164</v>
      </c>
      <c r="B70" t="s">
        <v>32</v>
      </c>
      <c r="C70" t="s">
        <v>33</v>
      </c>
      <c r="D70" t="s">
        <v>25</v>
      </c>
      <c r="E70" t="s">
        <v>26</v>
      </c>
      <c r="F70" t="s">
        <v>40</v>
      </c>
      <c r="G70">
        <v>55.73</v>
      </c>
      <c r="H70">
        <v>6</v>
      </c>
      <c r="I70">
        <v>16.719000000000001</v>
      </c>
      <c r="J70">
        <v>351.09899999999999</v>
      </c>
      <c r="K70" s="9">
        <v>43520</v>
      </c>
      <c r="L70" t="s">
        <v>165</v>
      </c>
      <c r="M70" t="s">
        <v>29</v>
      </c>
      <c r="N70">
        <v>334.38</v>
      </c>
      <c r="O70">
        <v>4.7619047620000003</v>
      </c>
      <c r="P70">
        <v>16.719000000000001</v>
      </c>
      <c r="Q70">
        <v>7</v>
      </c>
      <c r="R70" t="s">
        <v>48</v>
      </c>
    </row>
    <row r="71" spans="1:18" x14ac:dyDescent="0.25">
      <c r="A71" t="s">
        <v>166</v>
      </c>
      <c r="B71" t="s">
        <v>58</v>
      </c>
      <c r="C71" t="s">
        <v>59</v>
      </c>
      <c r="D71" t="s">
        <v>25</v>
      </c>
      <c r="E71" t="s">
        <v>26</v>
      </c>
      <c r="F71" t="s">
        <v>46</v>
      </c>
      <c r="G71">
        <v>55.07</v>
      </c>
      <c r="H71">
        <v>9</v>
      </c>
      <c r="I71">
        <v>24.781500000000001</v>
      </c>
      <c r="J71">
        <v>520.41150000000005</v>
      </c>
      <c r="K71" s="9">
        <v>43499</v>
      </c>
      <c r="L71" t="s">
        <v>167</v>
      </c>
      <c r="M71" t="s">
        <v>29</v>
      </c>
      <c r="N71">
        <v>495.63</v>
      </c>
      <c r="O71">
        <v>4.7619047620000003</v>
      </c>
      <c r="P71">
        <v>24.781500000000001</v>
      </c>
      <c r="Q71">
        <v>10</v>
      </c>
      <c r="R71" t="s">
        <v>48</v>
      </c>
    </row>
    <row r="72" spans="1:18" x14ac:dyDescent="0.25">
      <c r="A72" t="s">
        <v>168</v>
      </c>
      <c r="B72" t="s">
        <v>23</v>
      </c>
      <c r="C72" t="s">
        <v>24</v>
      </c>
      <c r="D72" t="s">
        <v>25</v>
      </c>
      <c r="E72" t="s">
        <v>26</v>
      </c>
      <c r="F72" t="s">
        <v>46</v>
      </c>
      <c r="G72">
        <v>15.81</v>
      </c>
      <c r="H72">
        <v>10</v>
      </c>
      <c r="I72">
        <v>7.9050000000000002</v>
      </c>
      <c r="J72">
        <v>166.005</v>
      </c>
      <c r="K72" s="9">
        <v>43530</v>
      </c>
      <c r="L72" t="s">
        <v>169</v>
      </c>
      <c r="M72" t="s">
        <v>42</v>
      </c>
      <c r="N72">
        <v>158.1</v>
      </c>
      <c r="O72">
        <v>4.7619047620000003</v>
      </c>
      <c r="P72">
        <v>7.9050000000000002</v>
      </c>
      <c r="Q72">
        <v>8.6</v>
      </c>
      <c r="R72" t="s">
        <v>38</v>
      </c>
    </row>
    <row r="73" spans="1:18" x14ac:dyDescent="0.25">
      <c r="A73" t="s">
        <v>170</v>
      </c>
      <c r="B73" t="s">
        <v>58</v>
      </c>
      <c r="C73" t="s">
        <v>59</v>
      </c>
      <c r="D73" t="s">
        <v>25</v>
      </c>
      <c r="E73" t="s">
        <v>26</v>
      </c>
      <c r="F73" t="s">
        <v>27</v>
      </c>
      <c r="G73">
        <v>75.739999999999995</v>
      </c>
      <c r="H73">
        <v>4</v>
      </c>
      <c r="I73">
        <v>15.148</v>
      </c>
      <c r="J73">
        <v>318.108</v>
      </c>
      <c r="K73" s="9">
        <v>43510</v>
      </c>
      <c r="L73" t="s">
        <v>171</v>
      </c>
      <c r="M73" t="s">
        <v>37</v>
      </c>
      <c r="N73">
        <v>302.95999999999998</v>
      </c>
      <c r="O73">
        <v>4.7619047620000003</v>
      </c>
      <c r="P73">
        <v>15.148</v>
      </c>
      <c r="Q73">
        <v>7.6</v>
      </c>
      <c r="R73" t="s">
        <v>48</v>
      </c>
    </row>
    <row r="74" spans="1:18" x14ac:dyDescent="0.25">
      <c r="A74" t="s">
        <v>172</v>
      </c>
      <c r="B74" t="s">
        <v>23</v>
      </c>
      <c r="C74" t="s">
        <v>24</v>
      </c>
      <c r="D74" t="s">
        <v>25</v>
      </c>
      <c r="E74" t="s">
        <v>26</v>
      </c>
      <c r="F74" t="s">
        <v>27</v>
      </c>
      <c r="G74">
        <v>15.87</v>
      </c>
      <c r="H74">
        <v>10</v>
      </c>
      <c r="I74">
        <v>7.9349999999999996</v>
      </c>
      <c r="J74">
        <v>166.63499999999999</v>
      </c>
      <c r="K74" s="9">
        <v>43537</v>
      </c>
      <c r="L74" t="s">
        <v>173</v>
      </c>
      <c r="M74" t="s">
        <v>37</v>
      </c>
      <c r="N74">
        <v>158.69999999999999</v>
      </c>
      <c r="O74">
        <v>4.7619047620000003</v>
      </c>
      <c r="P74">
        <v>7.9349999999999996</v>
      </c>
      <c r="Q74">
        <v>5.8</v>
      </c>
      <c r="R74" t="s">
        <v>38</v>
      </c>
    </row>
    <row r="75" spans="1:18" x14ac:dyDescent="0.25">
      <c r="A75" t="s">
        <v>174</v>
      </c>
      <c r="B75" t="s">
        <v>32</v>
      </c>
      <c r="C75" t="s">
        <v>33</v>
      </c>
      <c r="D75" t="s">
        <v>25</v>
      </c>
      <c r="E75" t="s">
        <v>26</v>
      </c>
      <c r="F75" t="s">
        <v>27</v>
      </c>
      <c r="G75">
        <v>33.47</v>
      </c>
      <c r="H75">
        <v>2</v>
      </c>
      <c r="I75">
        <v>3.347</v>
      </c>
      <c r="J75">
        <v>70.287000000000006</v>
      </c>
      <c r="K75" s="9">
        <v>43506</v>
      </c>
      <c r="L75" t="s">
        <v>175</v>
      </c>
      <c r="M75" t="s">
        <v>29</v>
      </c>
      <c r="N75">
        <v>66.94</v>
      </c>
      <c r="O75">
        <v>4.7619047620000003</v>
      </c>
      <c r="P75">
        <v>3.347</v>
      </c>
      <c r="Q75">
        <v>6.7</v>
      </c>
      <c r="R75" t="s">
        <v>48</v>
      </c>
    </row>
    <row r="76" spans="1:18" x14ac:dyDescent="0.25">
      <c r="A76" t="s">
        <v>176</v>
      </c>
      <c r="B76" t="s">
        <v>58</v>
      </c>
      <c r="C76" t="s">
        <v>59</v>
      </c>
      <c r="D76" t="s">
        <v>25</v>
      </c>
      <c r="E76" t="s">
        <v>26</v>
      </c>
      <c r="F76" t="s">
        <v>63</v>
      </c>
      <c r="G76">
        <v>97.61</v>
      </c>
      <c r="H76">
        <v>6</v>
      </c>
      <c r="I76">
        <v>29.283000000000001</v>
      </c>
      <c r="J76">
        <v>614.94299999999998</v>
      </c>
      <c r="K76" s="9">
        <v>43472</v>
      </c>
      <c r="L76" t="s">
        <v>177</v>
      </c>
      <c r="M76" t="s">
        <v>29</v>
      </c>
      <c r="N76">
        <v>585.66</v>
      </c>
      <c r="O76">
        <v>4.7619047620000003</v>
      </c>
      <c r="P76">
        <v>29.283000000000001</v>
      </c>
      <c r="Q76">
        <v>9.9</v>
      </c>
      <c r="R76" t="s">
        <v>30</v>
      </c>
    </row>
    <row r="77" spans="1:18" x14ac:dyDescent="0.25">
      <c r="A77" t="s">
        <v>178</v>
      </c>
      <c r="B77" t="s">
        <v>23</v>
      </c>
      <c r="C77" t="s">
        <v>24</v>
      </c>
      <c r="D77" t="s">
        <v>25</v>
      </c>
      <c r="E77" t="s">
        <v>26</v>
      </c>
      <c r="F77" t="s">
        <v>46</v>
      </c>
      <c r="G77">
        <v>78.77</v>
      </c>
      <c r="H77">
        <v>10</v>
      </c>
      <c r="I77">
        <v>39.384999999999998</v>
      </c>
      <c r="J77">
        <v>827.08500000000004</v>
      </c>
      <c r="K77" s="9">
        <v>43489</v>
      </c>
      <c r="L77" t="s">
        <v>179</v>
      </c>
      <c r="M77" t="s">
        <v>37</v>
      </c>
      <c r="N77">
        <v>787.7</v>
      </c>
      <c r="O77">
        <v>4.7619047620000003</v>
      </c>
      <c r="P77">
        <v>39.384999999999998</v>
      </c>
      <c r="Q77">
        <v>6.4</v>
      </c>
      <c r="R77" t="s">
        <v>30</v>
      </c>
    </row>
    <row r="78" spans="1:18" x14ac:dyDescent="0.25">
      <c r="A78" t="s">
        <v>180</v>
      </c>
      <c r="B78" t="s">
        <v>23</v>
      </c>
      <c r="C78" t="s">
        <v>24</v>
      </c>
      <c r="D78" t="s">
        <v>25</v>
      </c>
      <c r="E78" t="s">
        <v>26</v>
      </c>
      <c r="F78" t="s">
        <v>27</v>
      </c>
      <c r="G78">
        <v>18.329999999999998</v>
      </c>
      <c r="H78">
        <v>1</v>
      </c>
      <c r="I78">
        <v>0.91649999999999998</v>
      </c>
      <c r="J78">
        <v>19.246500000000001</v>
      </c>
      <c r="K78" s="9">
        <v>43498</v>
      </c>
      <c r="L78" t="s">
        <v>181</v>
      </c>
      <c r="M78" t="s">
        <v>37</v>
      </c>
      <c r="N78">
        <v>18.329999999999998</v>
      </c>
      <c r="O78">
        <v>4.7619047620000003</v>
      </c>
      <c r="P78">
        <v>0.91649999999999998</v>
      </c>
      <c r="Q78">
        <v>4.3</v>
      </c>
      <c r="R78" t="s">
        <v>48</v>
      </c>
    </row>
    <row r="79" spans="1:18" x14ac:dyDescent="0.25">
      <c r="A79" t="s">
        <v>182</v>
      </c>
      <c r="B79" t="s">
        <v>32</v>
      </c>
      <c r="C79" t="s">
        <v>33</v>
      </c>
      <c r="D79" t="s">
        <v>25</v>
      </c>
      <c r="E79" t="s">
        <v>26</v>
      </c>
      <c r="F79" t="s">
        <v>60</v>
      </c>
      <c r="G79">
        <v>89.48</v>
      </c>
      <c r="H79">
        <v>10</v>
      </c>
      <c r="I79">
        <v>44.74</v>
      </c>
      <c r="J79">
        <v>939.54</v>
      </c>
      <c r="K79" s="9">
        <v>43471</v>
      </c>
      <c r="L79" t="s">
        <v>183</v>
      </c>
      <c r="M79" t="s">
        <v>42</v>
      </c>
      <c r="N79">
        <v>894.8</v>
      </c>
      <c r="O79">
        <v>4.7619047620000003</v>
      </c>
      <c r="P79">
        <v>44.74</v>
      </c>
      <c r="Q79">
        <v>9.6</v>
      </c>
      <c r="R79" t="s">
        <v>30</v>
      </c>
    </row>
    <row r="80" spans="1:18" x14ac:dyDescent="0.25">
      <c r="A80" t="s">
        <v>184</v>
      </c>
      <c r="B80" t="s">
        <v>32</v>
      </c>
      <c r="C80" t="s">
        <v>33</v>
      </c>
      <c r="D80" t="s">
        <v>25</v>
      </c>
      <c r="E80" t="s">
        <v>26</v>
      </c>
      <c r="F80" t="s">
        <v>63</v>
      </c>
      <c r="G80">
        <v>62.12</v>
      </c>
      <c r="H80">
        <v>10</v>
      </c>
      <c r="I80">
        <v>31.06</v>
      </c>
      <c r="J80">
        <v>652.26</v>
      </c>
      <c r="K80" s="9">
        <v>43507</v>
      </c>
      <c r="L80" t="s">
        <v>74</v>
      </c>
      <c r="M80" t="s">
        <v>37</v>
      </c>
      <c r="N80">
        <v>621.20000000000005</v>
      </c>
      <c r="O80">
        <v>4.7619047620000003</v>
      </c>
      <c r="P80">
        <v>31.06</v>
      </c>
      <c r="Q80">
        <v>5.9</v>
      </c>
      <c r="R80" t="s">
        <v>48</v>
      </c>
    </row>
    <row r="81" spans="1:18" x14ac:dyDescent="0.25">
      <c r="A81" t="s">
        <v>185</v>
      </c>
      <c r="B81" t="s">
        <v>58</v>
      </c>
      <c r="C81" t="s">
        <v>59</v>
      </c>
      <c r="D81" t="s">
        <v>25</v>
      </c>
      <c r="E81" t="s">
        <v>26</v>
      </c>
      <c r="F81" t="s">
        <v>60</v>
      </c>
      <c r="G81">
        <v>48.52</v>
      </c>
      <c r="H81">
        <v>3</v>
      </c>
      <c r="I81">
        <v>7.2779999999999996</v>
      </c>
      <c r="J81">
        <v>152.83799999999999</v>
      </c>
      <c r="K81" s="9">
        <v>43529</v>
      </c>
      <c r="L81" t="s">
        <v>186</v>
      </c>
      <c r="M81" t="s">
        <v>29</v>
      </c>
      <c r="N81">
        <v>145.56</v>
      </c>
      <c r="O81">
        <v>4.7619047620000003</v>
      </c>
      <c r="P81">
        <v>7.2779999999999996</v>
      </c>
      <c r="Q81">
        <v>4</v>
      </c>
      <c r="R81" t="s">
        <v>38</v>
      </c>
    </row>
    <row r="82" spans="1:18" x14ac:dyDescent="0.25">
      <c r="A82" t="s">
        <v>187</v>
      </c>
      <c r="B82" t="s">
        <v>32</v>
      </c>
      <c r="C82" t="s">
        <v>33</v>
      </c>
      <c r="D82" t="s">
        <v>25</v>
      </c>
      <c r="E82" t="s">
        <v>26</v>
      </c>
      <c r="F82" t="s">
        <v>35</v>
      </c>
      <c r="G82">
        <v>75.91</v>
      </c>
      <c r="H82">
        <v>6</v>
      </c>
      <c r="I82">
        <v>22.773</v>
      </c>
      <c r="J82">
        <v>478.233</v>
      </c>
      <c r="K82" s="9">
        <v>43533</v>
      </c>
      <c r="L82" t="s">
        <v>188</v>
      </c>
      <c r="M82" t="s">
        <v>37</v>
      </c>
      <c r="N82">
        <v>455.46</v>
      </c>
      <c r="O82">
        <v>4.7619047620000003</v>
      </c>
      <c r="P82">
        <v>22.773</v>
      </c>
      <c r="Q82">
        <v>8.6999999999999993</v>
      </c>
      <c r="R82" t="s">
        <v>38</v>
      </c>
    </row>
    <row r="83" spans="1:18" x14ac:dyDescent="0.25">
      <c r="A83" t="s">
        <v>189</v>
      </c>
      <c r="B83" t="s">
        <v>23</v>
      </c>
      <c r="C83" t="s">
        <v>24</v>
      </c>
      <c r="D83" t="s">
        <v>25</v>
      </c>
      <c r="E83" t="s">
        <v>26</v>
      </c>
      <c r="F83" t="s">
        <v>40</v>
      </c>
      <c r="G83">
        <v>74.67</v>
      </c>
      <c r="H83">
        <v>9</v>
      </c>
      <c r="I83">
        <v>33.601500000000001</v>
      </c>
      <c r="J83">
        <v>705.63149999999996</v>
      </c>
      <c r="K83" s="9">
        <v>43487</v>
      </c>
      <c r="L83" t="s">
        <v>165</v>
      </c>
      <c r="M83" t="s">
        <v>29</v>
      </c>
      <c r="N83">
        <v>672.03</v>
      </c>
      <c r="O83">
        <v>4.7619047620000003</v>
      </c>
      <c r="P83">
        <v>33.601500000000001</v>
      </c>
      <c r="Q83">
        <v>9.4</v>
      </c>
      <c r="R83" t="s">
        <v>30</v>
      </c>
    </row>
    <row r="84" spans="1:18" x14ac:dyDescent="0.25">
      <c r="A84" t="s">
        <v>190</v>
      </c>
      <c r="B84" t="s">
        <v>32</v>
      </c>
      <c r="C84" t="s">
        <v>33</v>
      </c>
      <c r="D84" t="s">
        <v>25</v>
      </c>
      <c r="E84" t="s">
        <v>26</v>
      </c>
      <c r="F84" t="s">
        <v>35</v>
      </c>
      <c r="G84">
        <v>41.65</v>
      </c>
      <c r="H84">
        <v>10</v>
      </c>
      <c r="I84">
        <v>20.824999999999999</v>
      </c>
      <c r="J84">
        <v>437.32499999999999</v>
      </c>
      <c r="K84" s="9">
        <v>43478</v>
      </c>
      <c r="L84" t="s">
        <v>191</v>
      </c>
      <c r="M84" t="s">
        <v>42</v>
      </c>
      <c r="N84">
        <v>416.5</v>
      </c>
      <c r="O84">
        <v>4.7619047620000003</v>
      </c>
      <c r="P84">
        <v>20.824999999999999</v>
      </c>
      <c r="Q84">
        <v>5.4</v>
      </c>
      <c r="R84" t="s">
        <v>30</v>
      </c>
    </row>
    <row r="85" spans="1:18" x14ac:dyDescent="0.25">
      <c r="A85" t="s">
        <v>192</v>
      </c>
      <c r="B85" t="s">
        <v>32</v>
      </c>
      <c r="C85" t="s">
        <v>33</v>
      </c>
      <c r="D85" t="s">
        <v>25</v>
      </c>
      <c r="E85" t="s">
        <v>26</v>
      </c>
      <c r="F85" t="s">
        <v>63</v>
      </c>
      <c r="G85">
        <v>49.04</v>
      </c>
      <c r="H85">
        <v>9</v>
      </c>
      <c r="I85">
        <v>22.068000000000001</v>
      </c>
      <c r="J85">
        <v>463.428</v>
      </c>
      <c r="K85" s="9">
        <v>43474</v>
      </c>
      <c r="L85" t="s">
        <v>193</v>
      </c>
      <c r="M85" t="s">
        <v>42</v>
      </c>
      <c r="N85">
        <v>441.36</v>
      </c>
      <c r="O85">
        <v>4.7619047620000003</v>
      </c>
      <c r="P85">
        <v>22.068000000000001</v>
      </c>
      <c r="Q85">
        <v>8.6</v>
      </c>
      <c r="R85" t="s">
        <v>30</v>
      </c>
    </row>
    <row r="86" spans="1:18" x14ac:dyDescent="0.25">
      <c r="A86" t="s">
        <v>194</v>
      </c>
      <c r="B86" t="s">
        <v>23</v>
      </c>
      <c r="C86" t="s">
        <v>24</v>
      </c>
      <c r="D86" t="s">
        <v>25</v>
      </c>
      <c r="E86" t="s">
        <v>26</v>
      </c>
      <c r="F86" t="s">
        <v>63</v>
      </c>
      <c r="G86">
        <v>20.010000000000002</v>
      </c>
      <c r="H86">
        <v>9</v>
      </c>
      <c r="I86">
        <v>9.0045000000000002</v>
      </c>
      <c r="J86">
        <v>189.09450000000001</v>
      </c>
      <c r="K86" s="9">
        <v>43477</v>
      </c>
      <c r="L86" t="s">
        <v>195</v>
      </c>
      <c r="M86" t="s">
        <v>42</v>
      </c>
      <c r="N86">
        <v>180.09</v>
      </c>
      <c r="O86">
        <v>4.7619047620000003</v>
      </c>
      <c r="P86">
        <v>9.0045000000000002</v>
      </c>
      <c r="Q86">
        <v>5.7</v>
      </c>
      <c r="R86" t="s">
        <v>30</v>
      </c>
    </row>
    <row r="87" spans="1:18" x14ac:dyDescent="0.25">
      <c r="A87" t="s">
        <v>196</v>
      </c>
      <c r="B87" t="s">
        <v>32</v>
      </c>
      <c r="C87" t="s">
        <v>33</v>
      </c>
      <c r="D87" t="s">
        <v>25</v>
      </c>
      <c r="E87" t="s">
        <v>26</v>
      </c>
      <c r="F87" t="s">
        <v>60</v>
      </c>
      <c r="G87">
        <v>78.31</v>
      </c>
      <c r="H87">
        <v>10</v>
      </c>
      <c r="I87">
        <v>39.155000000000001</v>
      </c>
      <c r="J87">
        <v>822.255</v>
      </c>
      <c r="K87" s="9">
        <v>43529</v>
      </c>
      <c r="L87" t="s">
        <v>197</v>
      </c>
      <c r="M87" t="s">
        <v>29</v>
      </c>
      <c r="N87">
        <v>783.1</v>
      </c>
      <c r="O87">
        <v>4.7619047620000003</v>
      </c>
      <c r="P87">
        <v>39.155000000000001</v>
      </c>
      <c r="Q87">
        <v>6.6</v>
      </c>
      <c r="R87" t="s">
        <v>38</v>
      </c>
    </row>
    <row r="88" spans="1:18" x14ac:dyDescent="0.25">
      <c r="A88" t="s">
        <v>198</v>
      </c>
      <c r="B88" t="s">
        <v>32</v>
      </c>
      <c r="C88" t="s">
        <v>33</v>
      </c>
      <c r="D88" t="s">
        <v>25</v>
      </c>
      <c r="E88" t="s">
        <v>26</v>
      </c>
      <c r="F88" t="s">
        <v>27</v>
      </c>
      <c r="G88">
        <v>20.38</v>
      </c>
      <c r="H88">
        <v>5</v>
      </c>
      <c r="I88">
        <v>5.0949999999999998</v>
      </c>
      <c r="J88">
        <v>106.995</v>
      </c>
      <c r="K88" s="9">
        <v>43487</v>
      </c>
      <c r="L88" t="s">
        <v>199</v>
      </c>
      <c r="M88" t="s">
        <v>37</v>
      </c>
      <c r="N88">
        <v>101.9</v>
      </c>
      <c r="O88">
        <v>4.7619047620000003</v>
      </c>
      <c r="P88">
        <v>5.0949999999999998</v>
      </c>
      <c r="Q88">
        <v>6</v>
      </c>
      <c r="R88" t="s">
        <v>30</v>
      </c>
    </row>
    <row r="89" spans="1:18" x14ac:dyDescent="0.25">
      <c r="A89" t="s">
        <v>200</v>
      </c>
      <c r="B89" t="s">
        <v>32</v>
      </c>
      <c r="C89" t="s">
        <v>33</v>
      </c>
      <c r="D89" t="s">
        <v>25</v>
      </c>
      <c r="E89" t="s">
        <v>26</v>
      </c>
      <c r="F89" t="s">
        <v>27</v>
      </c>
      <c r="G89">
        <v>99.19</v>
      </c>
      <c r="H89">
        <v>6</v>
      </c>
      <c r="I89">
        <v>29.757000000000001</v>
      </c>
      <c r="J89">
        <v>624.89700000000005</v>
      </c>
      <c r="K89" s="9">
        <v>43486</v>
      </c>
      <c r="L89" t="s">
        <v>147</v>
      </c>
      <c r="M89" t="s">
        <v>42</v>
      </c>
      <c r="N89">
        <v>595.14</v>
      </c>
      <c r="O89">
        <v>4.7619047620000003</v>
      </c>
      <c r="P89">
        <v>29.757000000000001</v>
      </c>
      <c r="Q89">
        <v>5.5</v>
      </c>
      <c r="R89" t="s">
        <v>30</v>
      </c>
    </row>
    <row r="90" spans="1:18" x14ac:dyDescent="0.25">
      <c r="A90" t="s">
        <v>201</v>
      </c>
      <c r="B90" t="s">
        <v>58</v>
      </c>
      <c r="C90" t="s">
        <v>59</v>
      </c>
      <c r="D90" t="s">
        <v>25</v>
      </c>
      <c r="E90" t="s">
        <v>26</v>
      </c>
      <c r="F90" t="s">
        <v>60</v>
      </c>
      <c r="G90">
        <v>96.68</v>
      </c>
      <c r="H90">
        <v>3</v>
      </c>
      <c r="I90">
        <v>14.502000000000001</v>
      </c>
      <c r="J90">
        <v>304.54199999999997</v>
      </c>
      <c r="K90" s="9">
        <v>43491</v>
      </c>
      <c r="L90" t="s">
        <v>202</v>
      </c>
      <c r="M90" t="s">
        <v>29</v>
      </c>
      <c r="N90">
        <v>290.04000000000002</v>
      </c>
      <c r="O90">
        <v>4.7619047620000003</v>
      </c>
      <c r="P90">
        <v>14.502000000000001</v>
      </c>
      <c r="Q90">
        <v>6.4</v>
      </c>
      <c r="R90" t="s">
        <v>30</v>
      </c>
    </row>
    <row r="91" spans="1:18" x14ac:dyDescent="0.25">
      <c r="A91" t="s">
        <v>203</v>
      </c>
      <c r="B91" t="s">
        <v>32</v>
      </c>
      <c r="C91" t="s">
        <v>33</v>
      </c>
      <c r="D91" t="s">
        <v>25</v>
      </c>
      <c r="E91" t="s">
        <v>26</v>
      </c>
      <c r="F91" t="s">
        <v>60</v>
      </c>
      <c r="G91">
        <v>19.25</v>
      </c>
      <c r="H91">
        <v>8</v>
      </c>
      <c r="I91">
        <v>7.7</v>
      </c>
      <c r="J91">
        <v>161.69999999999999</v>
      </c>
      <c r="K91" s="9">
        <v>43488</v>
      </c>
      <c r="L91" t="s">
        <v>204</v>
      </c>
      <c r="M91" t="s">
        <v>29</v>
      </c>
      <c r="N91">
        <v>154</v>
      </c>
      <c r="O91">
        <v>4.7619047620000003</v>
      </c>
      <c r="P91">
        <v>7.7</v>
      </c>
      <c r="Q91">
        <v>6.6</v>
      </c>
      <c r="R91" t="s">
        <v>30</v>
      </c>
    </row>
    <row r="92" spans="1:18" x14ac:dyDescent="0.25">
      <c r="A92" t="s">
        <v>205</v>
      </c>
      <c r="B92" t="s">
        <v>32</v>
      </c>
      <c r="C92" t="s">
        <v>33</v>
      </c>
      <c r="D92" t="s">
        <v>25</v>
      </c>
      <c r="E92" t="s">
        <v>26</v>
      </c>
      <c r="F92" t="s">
        <v>60</v>
      </c>
      <c r="G92">
        <v>80.36</v>
      </c>
      <c r="H92">
        <v>4</v>
      </c>
      <c r="I92">
        <v>16.071999999999999</v>
      </c>
      <c r="J92">
        <v>337.512</v>
      </c>
      <c r="K92" s="9">
        <v>43519</v>
      </c>
      <c r="L92" t="s">
        <v>124</v>
      </c>
      <c r="M92" t="s">
        <v>42</v>
      </c>
      <c r="N92">
        <v>321.44</v>
      </c>
      <c r="O92">
        <v>4.7619047620000003</v>
      </c>
      <c r="P92">
        <v>16.071999999999999</v>
      </c>
      <c r="Q92">
        <v>8.3000000000000007</v>
      </c>
      <c r="R92" t="s">
        <v>48</v>
      </c>
    </row>
    <row r="93" spans="1:18" x14ac:dyDescent="0.25">
      <c r="A93" t="s">
        <v>206</v>
      </c>
      <c r="B93" t="s">
        <v>32</v>
      </c>
      <c r="C93" t="s">
        <v>33</v>
      </c>
      <c r="D93" t="s">
        <v>25</v>
      </c>
      <c r="E93" t="s">
        <v>26</v>
      </c>
      <c r="F93" t="s">
        <v>46</v>
      </c>
      <c r="G93">
        <v>48.91</v>
      </c>
      <c r="H93">
        <v>5</v>
      </c>
      <c r="I93">
        <v>12.227499999999999</v>
      </c>
      <c r="J93">
        <v>256.77749999999997</v>
      </c>
      <c r="K93" s="9">
        <v>43533</v>
      </c>
      <c r="L93" t="s">
        <v>207</v>
      </c>
      <c r="M93" t="s">
        <v>37</v>
      </c>
      <c r="N93">
        <v>244.55</v>
      </c>
      <c r="O93">
        <v>4.7619047620000003</v>
      </c>
      <c r="P93">
        <v>12.227499999999999</v>
      </c>
      <c r="Q93">
        <v>6.6</v>
      </c>
      <c r="R93" t="s">
        <v>38</v>
      </c>
    </row>
    <row r="94" spans="1:18" x14ac:dyDescent="0.25">
      <c r="A94" t="s">
        <v>208</v>
      </c>
      <c r="B94" t="s">
        <v>32</v>
      </c>
      <c r="C94" t="s">
        <v>33</v>
      </c>
      <c r="D94" t="s">
        <v>25</v>
      </c>
      <c r="E94" t="s">
        <v>26</v>
      </c>
      <c r="F94" t="s">
        <v>46</v>
      </c>
      <c r="G94">
        <v>83.06</v>
      </c>
      <c r="H94">
        <v>7</v>
      </c>
      <c r="I94">
        <v>29.071000000000002</v>
      </c>
      <c r="J94">
        <v>610.49099999999999</v>
      </c>
      <c r="K94" s="9">
        <v>43529</v>
      </c>
      <c r="L94" t="s">
        <v>209</v>
      </c>
      <c r="M94" t="s">
        <v>29</v>
      </c>
      <c r="N94">
        <v>581.41999999999996</v>
      </c>
      <c r="O94">
        <v>4.7619047620000003</v>
      </c>
      <c r="P94">
        <v>29.071000000000002</v>
      </c>
      <c r="Q94">
        <v>4</v>
      </c>
      <c r="R94" t="s">
        <v>38</v>
      </c>
    </row>
    <row r="95" spans="1:18" x14ac:dyDescent="0.25">
      <c r="A95" t="s">
        <v>210</v>
      </c>
      <c r="B95" t="s">
        <v>32</v>
      </c>
      <c r="C95" t="s">
        <v>33</v>
      </c>
      <c r="D95" t="s">
        <v>25</v>
      </c>
      <c r="E95" t="s">
        <v>26</v>
      </c>
      <c r="F95" t="s">
        <v>63</v>
      </c>
      <c r="G95">
        <v>76.52</v>
      </c>
      <c r="H95">
        <v>5</v>
      </c>
      <c r="I95">
        <v>19.13</v>
      </c>
      <c r="J95">
        <v>401.73</v>
      </c>
      <c r="K95" s="9">
        <v>43549</v>
      </c>
      <c r="L95" t="s">
        <v>211</v>
      </c>
      <c r="M95" t="s">
        <v>37</v>
      </c>
      <c r="N95">
        <v>382.6</v>
      </c>
      <c r="O95">
        <v>4.7619047620000003</v>
      </c>
      <c r="P95">
        <v>19.13</v>
      </c>
      <c r="Q95">
        <v>9.9</v>
      </c>
      <c r="R95" t="s">
        <v>38</v>
      </c>
    </row>
    <row r="96" spans="1:18" x14ac:dyDescent="0.25">
      <c r="A96" t="s">
        <v>212</v>
      </c>
      <c r="B96" t="s">
        <v>23</v>
      </c>
      <c r="C96" t="s">
        <v>24</v>
      </c>
      <c r="D96" t="s">
        <v>25</v>
      </c>
      <c r="E96" t="s">
        <v>26</v>
      </c>
      <c r="F96" t="s">
        <v>60</v>
      </c>
      <c r="G96">
        <v>49.38</v>
      </c>
      <c r="H96">
        <v>7</v>
      </c>
      <c r="I96">
        <v>17.283000000000001</v>
      </c>
      <c r="J96">
        <v>362.94299999999998</v>
      </c>
      <c r="K96" s="9">
        <v>43551</v>
      </c>
      <c r="L96" t="s">
        <v>213</v>
      </c>
      <c r="M96" t="s">
        <v>42</v>
      </c>
      <c r="N96">
        <v>345.66</v>
      </c>
      <c r="O96">
        <v>4.7619047620000003</v>
      </c>
      <c r="P96">
        <v>17.283000000000001</v>
      </c>
      <c r="Q96">
        <v>7.3</v>
      </c>
      <c r="R96" t="s">
        <v>38</v>
      </c>
    </row>
    <row r="97" spans="1:18" x14ac:dyDescent="0.25">
      <c r="A97" t="s">
        <v>214</v>
      </c>
      <c r="B97" t="s">
        <v>23</v>
      </c>
      <c r="C97" t="s">
        <v>24</v>
      </c>
      <c r="D97" t="s">
        <v>25</v>
      </c>
      <c r="E97" t="s">
        <v>26</v>
      </c>
      <c r="F97" t="s">
        <v>46</v>
      </c>
      <c r="G97">
        <v>42.47</v>
      </c>
      <c r="H97">
        <v>1</v>
      </c>
      <c r="I97">
        <v>2.1234999999999999</v>
      </c>
      <c r="J97">
        <v>44.593499999999999</v>
      </c>
      <c r="K97" s="9">
        <v>43467</v>
      </c>
      <c r="L97" t="s">
        <v>215</v>
      </c>
      <c r="M97" t="s">
        <v>37</v>
      </c>
      <c r="N97">
        <v>42.47</v>
      </c>
      <c r="O97">
        <v>4.7619047620000003</v>
      </c>
      <c r="P97">
        <v>2.1234999999999999</v>
      </c>
      <c r="Q97">
        <v>5.7</v>
      </c>
      <c r="R97" t="s">
        <v>30</v>
      </c>
    </row>
    <row r="98" spans="1:18" x14ac:dyDescent="0.25">
      <c r="A98" t="s">
        <v>216</v>
      </c>
      <c r="B98" t="s">
        <v>58</v>
      </c>
      <c r="C98" t="s">
        <v>59</v>
      </c>
      <c r="D98" t="s">
        <v>25</v>
      </c>
      <c r="E98" t="s">
        <v>26</v>
      </c>
      <c r="F98" t="s">
        <v>27</v>
      </c>
      <c r="G98">
        <v>76.989999999999995</v>
      </c>
      <c r="H98">
        <v>6</v>
      </c>
      <c r="I98">
        <v>23.097000000000001</v>
      </c>
      <c r="J98">
        <v>485.03699999999998</v>
      </c>
      <c r="K98" s="9">
        <v>43523</v>
      </c>
      <c r="L98" t="s">
        <v>217</v>
      </c>
      <c r="M98" t="s">
        <v>37</v>
      </c>
      <c r="N98">
        <v>461.94</v>
      </c>
      <c r="O98">
        <v>4.7619047620000003</v>
      </c>
      <c r="P98">
        <v>23.097000000000001</v>
      </c>
      <c r="Q98">
        <v>6.1</v>
      </c>
      <c r="R98" t="s">
        <v>48</v>
      </c>
    </row>
    <row r="99" spans="1:18" x14ac:dyDescent="0.25">
      <c r="A99" t="s">
        <v>218</v>
      </c>
      <c r="B99" t="s">
        <v>32</v>
      </c>
      <c r="C99" t="s">
        <v>33</v>
      </c>
      <c r="D99" t="s">
        <v>25</v>
      </c>
      <c r="E99" t="s">
        <v>26</v>
      </c>
      <c r="F99" t="s">
        <v>40</v>
      </c>
      <c r="G99">
        <v>47.38</v>
      </c>
      <c r="H99">
        <v>4</v>
      </c>
      <c r="I99">
        <v>9.4760000000000009</v>
      </c>
      <c r="J99">
        <v>198.99600000000001</v>
      </c>
      <c r="K99" s="9">
        <v>43488</v>
      </c>
      <c r="L99" t="s">
        <v>68</v>
      </c>
      <c r="M99" t="s">
        <v>37</v>
      </c>
      <c r="N99">
        <v>189.52</v>
      </c>
      <c r="O99">
        <v>4.7619047620000003</v>
      </c>
      <c r="P99">
        <v>9.4760000000000009</v>
      </c>
      <c r="Q99">
        <v>7.1</v>
      </c>
      <c r="R99" t="s">
        <v>30</v>
      </c>
    </row>
    <row r="100" spans="1:18" x14ac:dyDescent="0.25">
      <c r="A100" t="s">
        <v>219</v>
      </c>
      <c r="B100" t="s">
        <v>32</v>
      </c>
      <c r="C100" t="s">
        <v>33</v>
      </c>
      <c r="D100" t="s">
        <v>25</v>
      </c>
      <c r="E100" t="s">
        <v>26</v>
      </c>
      <c r="F100" t="s">
        <v>46</v>
      </c>
      <c r="G100">
        <v>44.86</v>
      </c>
      <c r="H100">
        <v>10</v>
      </c>
      <c r="I100">
        <v>22.43</v>
      </c>
      <c r="J100">
        <v>471.03</v>
      </c>
      <c r="K100" s="9">
        <v>43491</v>
      </c>
      <c r="L100" t="s">
        <v>220</v>
      </c>
      <c r="M100" t="s">
        <v>29</v>
      </c>
      <c r="N100">
        <v>448.6</v>
      </c>
      <c r="O100">
        <v>4.7619047620000003</v>
      </c>
      <c r="P100">
        <v>22.43</v>
      </c>
      <c r="Q100">
        <v>8.1999999999999993</v>
      </c>
      <c r="R100" t="s">
        <v>30</v>
      </c>
    </row>
    <row r="101" spans="1:18" x14ac:dyDescent="0.25">
      <c r="A101" t="s">
        <v>221</v>
      </c>
      <c r="B101" t="s">
        <v>23</v>
      </c>
      <c r="C101" t="s">
        <v>24</v>
      </c>
      <c r="D101" t="s">
        <v>25</v>
      </c>
      <c r="E101" t="s">
        <v>26</v>
      </c>
      <c r="F101" t="s">
        <v>46</v>
      </c>
      <c r="G101">
        <v>21.98</v>
      </c>
      <c r="H101">
        <v>7</v>
      </c>
      <c r="I101">
        <v>7.6929999999999996</v>
      </c>
      <c r="J101">
        <v>161.553</v>
      </c>
      <c r="K101" s="9">
        <v>43475</v>
      </c>
      <c r="L101" t="s">
        <v>222</v>
      </c>
      <c r="M101" t="s">
        <v>29</v>
      </c>
      <c r="N101">
        <v>153.86000000000001</v>
      </c>
      <c r="O101">
        <v>4.7619047620000003</v>
      </c>
      <c r="P101">
        <v>7.6929999999999996</v>
      </c>
      <c r="Q101">
        <v>5.0999999999999996</v>
      </c>
      <c r="R101" t="s">
        <v>30</v>
      </c>
    </row>
    <row r="102" spans="1:18" x14ac:dyDescent="0.25">
      <c r="A102" t="s">
        <v>223</v>
      </c>
      <c r="B102" t="s">
        <v>58</v>
      </c>
      <c r="C102" t="s">
        <v>59</v>
      </c>
      <c r="D102" t="s">
        <v>25</v>
      </c>
      <c r="E102" t="s">
        <v>26</v>
      </c>
      <c r="F102" t="s">
        <v>27</v>
      </c>
      <c r="G102">
        <v>64.36</v>
      </c>
      <c r="H102">
        <v>9</v>
      </c>
      <c r="I102">
        <v>28.962</v>
      </c>
      <c r="J102">
        <v>608.202</v>
      </c>
      <c r="K102" s="9">
        <v>43536</v>
      </c>
      <c r="L102" t="s">
        <v>224</v>
      </c>
      <c r="M102" t="s">
        <v>42</v>
      </c>
      <c r="N102">
        <v>579.24</v>
      </c>
      <c r="O102">
        <v>4.7619047620000003</v>
      </c>
      <c r="P102">
        <v>28.962</v>
      </c>
      <c r="Q102">
        <v>8.6</v>
      </c>
      <c r="R102" t="s">
        <v>38</v>
      </c>
    </row>
    <row r="103" spans="1:18" x14ac:dyDescent="0.25">
      <c r="A103" t="s">
        <v>225</v>
      </c>
      <c r="B103" t="s">
        <v>32</v>
      </c>
      <c r="C103" t="s">
        <v>33</v>
      </c>
      <c r="D103" t="s">
        <v>25</v>
      </c>
      <c r="E103" t="s">
        <v>26</v>
      </c>
      <c r="F103" t="s">
        <v>27</v>
      </c>
      <c r="G103">
        <v>89.75</v>
      </c>
      <c r="H103">
        <v>1</v>
      </c>
      <c r="I103">
        <v>4.4874999999999998</v>
      </c>
      <c r="J103">
        <v>94.237499999999997</v>
      </c>
      <c r="K103" s="9">
        <v>43502</v>
      </c>
      <c r="L103" t="s">
        <v>226</v>
      </c>
      <c r="M103" t="s">
        <v>42</v>
      </c>
      <c r="N103">
        <v>89.75</v>
      </c>
      <c r="O103">
        <v>4.7619047620000003</v>
      </c>
      <c r="P103">
        <v>4.4874999999999998</v>
      </c>
      <c r="Q103">
        <v>6.6</v>
      </c>
      <c r="R103" t="s">
        <v>48</v>
      </c>
    </row>
    <row r="104" spans="1:18" x14ac:dyDescent="0.25">
      <c r="A104" t="s">
        <v>227</v>
      </c>
      <c r="B104" t="s">
        <v>23</v>
      </c>
      <c r="C104" t="s">
        <v>24</v>
      </c>
      <c r="D104" t="s">
        <v>25</v>
      </c>
      <c r="E104" t="s">
        <v>26</v>
      </c>
      <c r="F104" t="s">
        <v>35</v>
      </c>
      <c r="G104">
        <v>97.16</v>
      </c>
      <c r="H104">
        <v>1</v>
      </c>
      <c r="I104">
        <v>4.8579999999999997</v>
      </c>
      <c r="J104">
        <v>102.018</v>
      </c>
      <c r="K104" s="9">
        <v>43532</v>
      </c>
      <c r="L104" t="s">
        <v>228</v>
      </c>
      <c r="M104" t="s">
        <v>29</v>
      </c>
      <c r="N104">
        <v>97.16</v>
      </c>
      <c r="O104">
        <v>4.7619047620000003</v>
      </c>
      <c r="P104">
        <v>4.8579999999999997</v>
      </c>
      <c r="Q104">
        <v>7.2</v>
      </c>
      <c r="R104" t="s">
        <v>38</v>
      </c>
    </row>
    <row r="105" spans="1:18" x14ac:dyDescent="0.25">
      <c r="A105" t="s">
        <v>229</v>
      </c>
      <c r="B105" t="s">
        <v>58</v>
      </c>
      <c r="C105" t="s">
        <v>59</v>
      </c>
      <c r="D105" t="s">
        <v>25</v>
      </c>
      <c r="E105" t="s">
        <v>26</v>
      </c>
      <c r="F105" t="s">
        <v>27</v>
      </c>
      <c r="G105">
        <v>87.87</v>
      </c>
      <c r="H105">
        <v>10</v>
      </c>
      <c r="I105">
        <v>43.935000000000002</v>
      </c>
      <c r="J105">
        <v>922.63499999999999</v>
      </c>
      <c r="K105" s="9">
        <v>43553</v>
      </c>
      <c r="L105" t="s">
        <v>68</v>
      </c>
      <c r="M105" t="s">
        <v>29</v>
      </c>
      <c r="N105">
        <v>878.7</v>
      </c>
      <c r="O105">
        <v>4.7619047620000003</v>
      </c>
      <c r="P105">
        <v>43.935000000000002</v>
      </c>
      <c r="Q105">
        <v>5.0999999999999996</v>
      </c>
      <c r="R105" t="s">
        <v>38</v>
      </c>
    </row>
    <row r="106" spans="1:18" x14ac:dyDescent="0.25">
      <c r="A106" t="s">
        <v>230</v>
      </c>
      <c r="B106" t="s">
        <v>32</v>
      </c>
      <c r="C106" t="s">
        <v>33</v>
      </c>
      <c r="D106" t="s">
        <v>25</v>
      </c>
      <c r="E106" t="s">
        <v>26</v>
      </c>
      <c r="F106" t="s">
        <v>35</v>
      </c>
      <c r="G106">
        <v>12.45</v>
      </c>
      <c r="H106">
        <v>6</v>
      </c>
      <c r="I106">
        <v>3.7349999999999999</v>
      </c>
      <c r="J106">
        <v>78.435000000000002</v>
      </c>
      <c r="K106" s="9">
        <v>43505</v>
      </c>
      <c r="L106" t="s">
        <v>231</v>
      </c>
      <c r="M106" t="s">
        <v>37</v>
      </c>
      <c r="N106">
        <v>74.7</v>
      </c>
      <c r="O106">
        <v>4.7619047620000003</v>
      </c>
      <c r="P106">
        <v>3.7349999999999999</v>
      </c>
      <c r="Q106">
        <v>4.0999999999999996</v>
      </c>
      <c r="R106" t="s">
        <v>48</v>
      </c>
    </row>
    <row r="107" spans="1:18" x14ac:dyDescent="0.25">
      <c r="A107" t="s">
        <v>232</v>
      </c>
      <c r="B107" t="s">
        <v>23</v>
      </c>
      <c r="C107" t="s">
        <v>24</v>
      </c>
      <c r="D107" t="s">
        <v>25</v>
      </c>
      <c r="E107" t="s">
        <v>26</v>
      </c>
      <c r="F107" t="s">
        <v>60</v>
      </c>
      <c r="G107">
        <v>52.75</v>
      </c>
      <c r="H107">
        <v>3</v>
      </c>
      <c r="I107">
        <v>7.9124999999999996</v>
      </c>
      <c r="J107">
        <v>166.16249999999999</v>
      </c>
      <c r="K107" s="9">
        <v>43547</v>
      </c>
      <c r="L107" t="s">
        <v>233</v>
      </c>
      <c r="M107" t="s">
        <v>29</v>
      </c>
      <c r="N107">
        <v>158.25</v>
      </c>
      <c r="O107">
        <v>4.7619047620000003</v>
      </c>
      <c r="P107">
        <v>7.9124999999999996</v>
      </c>
      <c r="Q107">
        <v>9.3000000000000007</v>
      </c>
      <c r="R107" t="s">
        <v>38</v>
      </c>
    </row>
    <row r="108" spans="1:18" x14ac:dyDescent="0.25">
      <c r="A108" t="s">
        <v>234</v>
      </c>
      <c r="B108" t="s">
        <v>58</v>
      </c>
      <c r="C108" t="s">
        <v>59</v>
      </c>
      <c r="D108" t="s">
        <v>25</v>
      </c>
      <c r="E108" t="s">
        <v>26</v>
      </c>
      <c r="F108" t="s">
        <v>40</v>
      </c>
      <c r="G108">
        <v>82.7</v>
      </c>
      <c r="H108">
        <v>6</v>
      </c>
      <c r="I108">
        <v>24.81</v>
      </c>
      <c r="J108">
        <v>521.01</v>
      </c>
      <c r="K108" s="9">
        <v>43529</v>
      </c>
      <c r="L108" t="s">
        <v>235</v>
      </c>
      <c r="M108" t="s">
        <v>37</v>
      </c>
      <c r="N108">
        <v>496.2</v>
      </c>
      <c r="O108">
        <v>4.7619047620000003</v>
      </c>
      <c r="P108">
        <v>24.81</v>
      </c>
      <c r="Q108">
        <v>7.4</v>
      </c>
      <c r="R108" t="s">
        <v>38</v>
      </c>
    </row>
    <row r="109" spans="1:18" x14ac:dyDescent="0.25">
      <c r="A109" t="s">
        <v>236</v>
      </c>
      <c r="B109" t="s">
        <v>32</v>
      </c>
      <c r="C109" t="s">
        <v>33</v>
      </c>
      <c r="D109" t="s">
        <v>25</v>
      </c>
      <c r="E109" t="s">
        <v>26</v>
      </c>
      <c r="F109" t="s">
        <v>63</v>
      </c>
      <c r="G109">
        <v>48.71</v>
      </c>
      <c r="H109">
        <v>1</v>
      </c>
      <c r="I109">
        <v>2.4355000000000002</v>
      </c>
      <c r="J109">
        <v>51.145499999999998</v>
      </c>
      <c r="K109" s="9">
        <v>43550</v>
      </c>
      <c r="L109" t="s">
        <v>94</v>
      </c>
      <c r="M109" t="s">
        <v>37</v>
      </c>
      <c r="N109">
        <v>48.71</v>
      </c>
      <c r="O109">
        <v>4.7619047620000003</v>
      </c>
      <c r="P109">
        <v>2.4355000000000002</v>
      </c>
      <c r="Q109">
        <v>4.0999999999999996</v>
      </c>
      <c r="R109" t="s">
        <v>38</v>
      </c>
    </row>
    <row r="110" spans="1:18" x14ac:dyDescent="0.25">
      <c r="A110" t="s">
        <v>237</v>
      </c>
      <c r="B110" t="s">
        <v>32</v>
      </c>
      <c r="C110" t="s">
        <v>33</v>
      </c>
      <c r="D110" t="s">
        <v>25</v>
      </c>
      <c r="E110" t="s">
        <v>26</v>
      </c>
      <c r="F110" t="s">
        <v>63</v>
      </c>
      <c r="G110">
        <v>78.55</v>
      </c>
      <c r="H110">
        <v>9</v>
      </c>
      <c r="I110">
        <v>35.347499999999997</v>
      </c>
      <c r="J110">
        <v>742.29750000000001</v>
      </c>
      <c r="K110" s="9">
        <v>43525</v>
      </c>
      <c r="L110" t="s">
        <v>238</v>
      </c>
      <c r="M110" t="s">
        <v>37</v>
      </c>
      <c r="N110">
        <v>706.95</v>
      </c>
      <c r="O110">
        <v>4.7619047620000003</v>
      </c>
      <c r="P110">
        <v>35.347499999999997</v>
      </c>
      <c r="Q110">
        <v>7.2</v>
      </c>
      <c r="R110" t="s">
        <v>38</v>
      </c>
    </row>
    <row r="111" spans="1:18" x14ac:dyDescent="0.25">
      <c r="A111" t="s">
        <v>239</v>
      </c>
      <c r="B111" t="s">
        <v>32</v>
      </c>
      <c r="C111" t="s">
        <v>33</v>
      </c>
      <c r="D111" t="s">
        <v>25</v>
      </c>
      <c r="E111" t="s">
        <v>26</v>
      </c>
      <c r="F111" t="s">
        <v>35</v>
      </c>
      <c r="G111">
        <v>23.07</v>
      </c>
      <c r="H111">
        <v>9</v>
      </c>
      <c r="I111">
        <v>10.381500000000001</v>
      </c>
      <c r="J111">
        <v>218.01150000000001</v>
      </c>
      <c r="K111" s="9">
        <v>43497</v>
      </c>
      <c r="L111" t="s">
        <v>240</v>
      </c>
      <c r="M111" t="s">
        <v>37</v>
      </c>
      <c r="N111">
        <v>207.63</v>
      </c>
      <c r="O111">
        <v>4.7619047620000003</v>
      </c>
      <c r="P111">
        <v>10.381500000000001</v>
      </c>
      <c r="Q111">
        <v>4.9000000000000004</v>
      </c>
      <c r="R111" t="s">
        <v>48</v>
      </c>
    </row>
    <row r="112" spans="1:18" x14ac:dyDescent="0.25">
      <c r="A112" t="s">
        <v>241</v>
      </c>
      <c r="B112" t="s">
        <v>23</v>
      </c>
      <c r="C112" t="s">
        <v>24</v>
      </c>
      <c r="D112" t="s">
        <v>25</v>
      </c>
      <c r="E112" t="s">
        <v>26</v>
      </c>
      <c r="F112" t="s">
        <v>60</v>
      </c>
      <c r="G112">
        <v>58.26</v>
      </c>
      <c r="H112">
        <v>6</v>
      </c>
      <c r="I112">
        <v>17.478000000000002</v>
      </c>
      <c r="J112">
        <v>367.03800000000001</v>
      </c>
      <c r="K112" s="9">
        <v>43552</v>
      </c>
      <c r="L112" t="s">
        <v>242</v>
      </c>
      <c r="M112" t="s">
        <v>37</v>
      </c>
      <c r="N112">
        <v>349.56</v>
      </c>
      <c r="O112">
        <v>4.7619047620000003</v>
      </c>
      <c r="P112">
        <v>17.478000000000002</v>
      </c>
      <c r="Q112">
        <v>9.9</v>
      </c>
      <c r="R112" t="s">
        <v>38</v>
      </c>
    </row>
    <row r="113" spans="1:18" x14ac:dyDescent="0.25">
      <c r="A113" t="s">
        <v>243</v>
      </c>
      <c r="B113" t="s">
        <v>58</v>
      </c>
      <c r="C113" t="s">
        <v>59</v>
      </c>
      <c r="D113" t="s">
        <v>25</v>
      </c>
      <c r="E113" t="s">
        <v>26</v>
      </c>
      <c r="F113" t="s">
        <v>27</v>
      </c>
      <c r="G113">
        <v>30.35</v>
      </c>
      <c r="H113">
        <v>7</v>
      </c>
      <c r="I113">
        <v>10.6225</v>
      </c>
      <c r="J113">
        <v>223.07249999999999</v>
      </c>
      <c r="K113" s="9">
        <v>43543</v>
      </c>
      <c r="L113" t="s">
        <v>244</v>
      </c>
      <c r="M113" t="s">
        <v>37</v>
      </c>
      <c r="N113">
        <v>212.45</v>
      </c>
      <c r="O113">
        <v>4.7619047620000003</v>
      </c>
      <c r="P113">
        <v>10.6225</v>
      </c>
      <c r="Q113">
        <v>8</v>
      </c>
      <c r="R113" t="s">
        <v>38</v>
      </c>
    </row>
    <row r="114" spans="1:18" x14ac:dyDescent="0.25">
      <c r="A114" t="s">
        <v>245</v>
      </c>
      <c r="B114" t="s">
        <v>23</v>
      </c>
      <c r="C114" t="s">
        <v>24</v>
      </c>
      <c r="D114" t="s">
        <v>25</v>
      </c>
      <c r="E114" t="s">
        <v>26</v>
      </c>
      <c r="F114" t="s">
        <v>35</v>
      </c>
      <c r="G114">
        <v>88.67</v>
      </c>
      <c r="H114">
        <v>10</v>
      </c>
      <c r="I114">
        <v>44.335000000000001</v>
      </c>
      <c r="J114">
        <v>931.03499999999997</v>
      </c>
      <c r="K114" s="9">
        <v>43477</v>
      </c>
      <c r="L114" t="s">
        <v>246</v>
      </c>
      <c r="M114" t="s">
        <v>29</v>
      </c>
      <c r="N114">
        <v>886.7</v>
      </c>
      <c r="O114">
        <v>4.7619047620000003</v>
      </c>
      <c r="P114">
        <v>44.335000000000001</v>
      </c>
      <c r="Q114">
        <v>7.3</v>
      </c>
      <c r="R114" t="s">
        <v>30</v>
      </c>
    </row>
    <row r="115" spans="1:18" x14ac:dyDescent="0.25">
      <c r="A115" t="s">
        <v>247</v>
      </c>
      <c r="B115" t="s">
        <v>32</v>
      </c>
      <c r="C115" t="s">
        <v>33</v>
      </c>
      <c r="D115" t="s">
        <v>25</v>
      </c>
      <c r="E115" t="s">
        <v>26</v>
      </c>
      <c r="F115" t="s">
        <v>63</v>
      </c>
      <c r="G115">
        <v>27.38</v>
      </c>
      <c r="H115">
        <v>6</v>
      </c>
      <c r="I115">
        <v>8.2140000000000004</v>
      </c>
      <c r="J115">
        <v>172.494</v>
      </c>
      <c r="K115" s="9">
        <v>43470</v>
      </c>
      <c r="L115" t="s">
        <v>248</v>
      </c>
      <c r="M115" t="s">
        <v>42</v>
      </c>
      <c r="N115">
        <v>164.28</v>
      </c>
      <c r="O115">
        <v>4.7619047620000003</v>
      </c>
      <c r="P115">
        <v>8.2140000000000004</v>
      </c>
      <c r="Q115">
        <v>7.9</v>
      </c>
      <c r="R115" t="s">
        <v>30</v>
      </c>
    </row>
    <row r="116" spans="1:18" x14ac:dyDescent="0.25">
      <c r="A116" t="s">
        <v>249</v>
      </c>
      <c r="B116" t="s">
        <v>23</v>
      </c>
      <c r="C116" t="s">
        <v>24</v>
      </c>
      <c r="D116" t="s">
        <v>25</v>
      </c>
      <c r="E116" t="s">
        <v>26</v>
      </c>
      <c r="F116" t="s">
        <v>46</v>
      </c>
      <c r="G116">
        <v>62.13</v>
      </c>
      <c r="H116">
        <v>6</v>
      </c>
      <c r="I116">
        <v>18.638999999999999</v>
      </c>
      <c r="J116">
        <v>391.41899999999998</v>
      </c>
      <c r="K116" s="9">
        <v>43546</v>
      </c>
      <c r="L116" t="s">
        <v>250</v>
      </c>
      <c r="M116" t="s">
        <v>37</v>
      </c>
      <c r="N116">
        <v>372.78</v>
      </c>
      <c r="O116">
        <v>4.7619047620000003</v>
      </c>
      <c r="P116">
        <v>18.638999999999999</v>
      </c>
      <c r="Q116">
        <v>7.4</v>
      </c>
      <c r="R116" t="s">
        <v>38</v>
      </c>
    </row>
    <row r="117" spans="1:18" x14ac:dyDescent="0.25">
      <c r="A117" t="s">
        <v>251</v>
      </c>
      <c r="B117" t="s">
        <v>32</v>
      </c>
      <c r="C117" t="s">
        <v>33</v>
      </c>
      <c r="D117" t="s">
        <v>25</v>
      </c>
      <c r="E117" t="s">
        <v>26</v>
      </c>
      <c r="F117" t="s">
        <v>60</v>
      </c>
      <c r="G117">
        <v>33.979999999999997</v>
      </c>
      <c r="H117">
        <v>9</v>
      </c>
      <c r="I117">
        <v>15.291</v>
      </c>
      <c r="J117">
        <v>321.11099999999999</v>
      </c>
      <c r="K117" s="9">
        <v>43548</v>
      </c>
      <c r="L117" t="s">
        <v>252</v>
      </c>
      <c r="M117" t="s">
        <v>37</v>
      </c>
      <c r="N117">
        <v>305.82</v>
      </c>
      <c r="O117">
        <v>4.7619047620000003</v>
      </c>
      <c r="P117">
        <v>15.291</v>
      </c>
      <c r="Q117">
        <v>4.2</v>
      </c>
      <c r="R117" t="s">
        <v>38</v>
      </c>
    </row>
    <row r="118" spans="1:18" x14ac:dyDescent="0.25">
      <c r="A118" t="s">
        <v>253</v>
      </c>
      <c r="B118" t="s">
        <v>32</v>
      </c>
      <c r="C118" t="s">
        <v>33</v>
      </c>
      <c r="D118" t="s">
        <v>25</v>
      </c>
      <c r="E118" t="s">
        <v>26</v>
      </c>
      <c r="F118" t="s">
        <v>35</v>
      </c>
      <c r="G118">
        <v>81.97</v>
      </c>
      <c r="H118">
        <v>10</v>
      </c>
      <c r="I118">
        <v>40.984999999999999</v>
      </c>
      <c r="J118">
        <v>860.68499999999995</v>
      </c>
      <c r="K118" s="9">
        <v>43527</v>
      </c>
      <c r="L118" t="s">
        <v>254</v>
      </c>
      <c r="M118" t="s">
        <v>37</v>
      </c>
      <c r="N118">
        <v>819.7</v>
      </c>
      <c r="O118">
        <v>4.7619047620000003</v>
      </c>
      <c r="P118">
        <v>40.984999999999999</v>
      </c>
      <c r="Q118">
        <v>9.1999999999999993</v>
      </c>
      <c r="R118" t="s">
        <v>38</v>
      </c>
    </row>
    <row r="119" spans="1:18" x14ac:dyDescent="0.25">
      <c r="A119" t="s">
        <v>255</v>
      </c>
      <c r="B119" t="s">
        <v>58</v>
      </c>
      <c r="C119" t="s">
        <v>59</v>
      </c>
      <c r="D119" t="s">
        <v>25</v>
      </c>
      <c r="E119" t="s">
        <v>26</v>
      </c>
      <c r="F119" t="s">
        <v>46</v>
      </c>
      <c r="G119">
        <v>16.489999999999998</v>
      </c>
      <c r="H119">
        <v>2</v>
      </c>
      <c r="I119">
        <v>1.649</v>
      </c>
      <c r="J119">
        <v>34.628999999999998</v>
      </c>
      <c r="K119" s="9">
        <v>43501</v>
      </c>
      <c r="L119" t="s">
        <v>256</v>
      </c>
      <c r="M119" t="s">
        <v>29</v>
      </c>
      <c r="N119">
        <v>32.979999999999997</v>
      </c>
      <c r="O119">
        <v>4.7619047620000003</v>
      </c>
      <c r="P119">
        <v>1.649</v>
      </c>
      <c r="Q119">
        <v>4.5999999999999996</v>
      </c>
      <c r="R119" t="s">
        <v>48</v>
      </c>
    </row>
    <row r="120" spans="1:18" x14ac:dyDescent="0.25">
      <c r="A120" t="s">
        <v>257</v>
      </c>
      <c r="B120" t="s">
        <v>32</v>
      </c>
      <c r="C120" t="s">
        <v>33</v>
      </c>
      <c r="D120" t="s">
        <v>25</v>
      </c>
      <c r="E120" t="s">
        <v>26</v>
      </c>
      <c r="F120" t="s">
        <v>27</v>
      </c>
      <c r="G120">
        <v>98.21</v>
      </c>
      <c r="H120">
        <v>3</v>
      </c>
      <c r="I120">
        <v>14.7315</v>
      </c>
      <c r="J120">
        <v>309.36149999999998</v>
      </c>
      <c r="K120" s="9">
        <v>43501</v>
      </c>
      <c r="L120" t="s">
        <v>258</v>
      </c>
      <c r="M120" t="s">
        <v>42</v>
      </c>
      <c r="N120">
        <v>294.63</v>
      </c>
      <c r="O120">
        <v>4.7619047620000003</v>
      </c>
      <c r="P120">
        <v>14.7315</v>
      </c>
      <c r="Q120">
        <v>7.8</v>
      </c>
      <c r="R120" t="s">
        <v>48</v>
      </c>
    </row>
    <row r="121" spans="1:18" x14ac:dyDescent="0.25">
      <c r="A121" t="s">
        <v>259</v>
      </c>
      <c r="B121" t="s">
        <v>58</v>
      </c>
      <c r="C121" t="s">
        <v>59</v>
      </c>
      <c r="D121" t="s">
        <v>25</v>
      </c>
      <c r="E121" t="s">
        <v>26</v>
      </c>
      <c r="F121" t="s">
        <v>63</v>
      </c>
      <c r="G121">
        <v>72.84</v>
      </c>
      <c r="H121">
        <v>7</v>
      </c>
      <c r="I121">
        <v>25.494</v>
      </c>
      <c r="J121">
        <v>535.37400000000002</v>
      </c>
      <c r="K121" s="9">
        <v>43511</v>
      </c>
      <c r="L121" t="s">
        <v>260</v>
      </c>
      <c r="M121" t="s">
        <v>37</v>
      </c>
      <c r="N121">
        <v>509.88</v>
      </c>
      <c r="O121">
        <v>4.7619047620000003</v>
      </c>
      <c r="P121">
        <v>25.494</v>
      </c>
      <c r="Q121">
        <v>8.4</v>
      </c>
      <c r="R121" t="s">
        <v>48</v>
      </c>
    </row>
    <row r="122" spans="1:18" x14ac:dyDescent="0.25">
      <c r="A122" t="s">
        <v>261</v>
      </c>
      <c r="B122" t="s">
        <v>23</v>
      </c>
      <c r="C122" t="s">
        <v>24</v>
      </c>
      <c r="D122" t="s">
        <v>25</v>
      </c>
      <c r="E122" t="s">
        <v>26</v>
      </c>
      <c r="F122" t="s">
        <v>40</v>
      </c>
      <c r="G122">
        <v>58.07</v>
      </c>
      <c r="H122">
        <v>9</v>
      </c>
      <c r="I122">
        <v>26.131499999999999</v>
      </c>
      <c r="J122">
        <v>548.76149999999996</v>
      </c>
      <c r="K122" s="9">
        <v>43484</v>
      </c>
      <c r="L122" t="s">
        <v>262</v>
      </c>
      <c r="M122" t="s">
        <v>29</v>
      </c>
      <c r="N122">
        <v>522.63</v>
      </c>
      <c r="O122">
        <v>4.7619047620000003</v>
      </c>
      <c r="P122">
        <v>26.131499999999999</v>
      </c>
      <c r="Q122">
        <v>4.3</v>
      </c>
      <c r="R122" t="s">
        <v>30</v>
      </c>
    </row>
    <row r="123" spans="1:18" x14ac:dyDescent="0.25">
      <c r="A123" t="s">
        <v>263</v>
      </c>
      <c r="B123" t="s">
        <v>32</v>
      </c>
      <c r="C123" t="s">
        <v>33</v>
      </c>
      <c r="D123" t="s">
        <v>25</v>
      </c>
      <c r="E123" t="s">
        <v>26</v>
      </c>
      <c r="F123" t="s">
        <v>40</v>
      </c>
      <c r="G123">
        <v>80.790000000000006</v>
      </c>
      <c r="H123">
        <v>9</v>
      </c>
      <c r="I123">
        <v>36.355499999999999</v>
      </c>
      <c r="J123">
        <v>763.46550000000002</v>
      </c>
      <c r="K123" s="9">
        <v>43497</v>
      </c>
      <c r="L123" t="s">
        <v>264</v>
      </c>
      <c r="M123" t="s">
        <v>42</v>
      </c>
      <c r="N123">
        <v>727.11</v>
      </c>
      <c r="O123">
        <v>4.7619047620000003</v>
      </c>
      <c r="P123">
        <v>36.355499999999999</v>
      </c>
      <c r="Q123">
        <v>9.5</v>
      </c>
      <c r="R123" t="s">
        <v>48</v>
      </c>
    </row>
    <row r="124" spans="1:18" x14ac:dyDescent="0.25">
      <c r="A124" t="s">
        <v>265</v>
      </c>
      <c r="B124" t="s">
        <v>32</v>
      </c>
      <c r="C124" t="s">
        <v>33</v>
      </c>
      <c r="D124" t="s">
        <v>25</v>
      </c>
      <c r="E124" t="s">
        <v>26</v>
      </c>
      <c r="F124" t="s">
        <v>63</v>
      </c>
      <c r="G124">
        <v>27.02</v>
      </c>
      <c r="H124">
        <v>3</v>
      </c>
      <c r="I124">
        <v>4.0529999999999999</v>
      </c>
      <c r="J124">
        <v>85.113</v>
      </c>
      <c r="K124" s="9">
        <v>43526</v>
      </c>
      <c r="L124" t="s">
        <v>122</v>
      </c>
      <c r="M124" t="s">
        <v>42</v>
      </c>
      <c r="N124">
        <v>81.06</v>
      </c>
      <c r="O124">
        <v>4.7619047620000003</v>
      </c>
      <c r="P124">
        <v>4.0529999999999999</v>
      </c>
      <c r="Q124">
        <v>7.1</v>
      </c>
      <c r="R124" t="s">
        <v>38</v>
      </c>
    </row>
    <row r="125" spans="1:18" x14ac:dyDescent="0.25">
      <c r="A125" t="s">
        <v>266</v>
      </c>
      <c r="B125" t="s">
        <v>58</v>
      </c>
      <c r="C125" t="s">
        <v>59</v>
      </c>
      <c r="D125" t="s">
        <v>25</v>
      </c>
      <c r="E125" t="s">
        <v>26</v>
      </c>
      <c r="F125" t="s">
        <v>63</v>
      </c>
      <c r="G125">
        <v>21.94</v>
      </c>
      <c r="H125">
        <v>5</v>
      </c>
      <c r="I125">
        <v>5.4850000000000003</v>
      </c>
      <c r="J125">
        <v>115.185</v>
      </c>
      <c r="K125" s="9">
        <v>43529</v>
      </c>
      <c r="L125" t="s">
        <v>267</v>
      </c>
      <c r="M125" t="s">
        <v>29</v>
      </c>
      <c r="N125">
        <v>109.7</v>
      </c>
      <c r="O125">
        <v>4.7619047620000003</v>
      </c>
      <c r="P125">
        <v>5.4850000000000003</v>
      </c>
      <c r="Q125">
        <v>5.3</v>
      </c>
      <c r="R125" t="s">
        <v>38</v>
      </c>
    </row>
    <row r="126" spans="1:18" x14ac:dyDescent="0.25">
      <c r="A126" t="s">
        <v>268</v>
      </c>
      <c r="B126" t="s">
        <v>58</v>
      </c>
      <c r="C126" t="s">
        <v>59</v>
      </c>
      <c r="D126" t="s">
        <v>25</v>
      </c>
      <c r="E126" t="s">
        <v>26</v>
      </c>
      <c r="F126" t="s">
        <v>63</v>
      </c>
      <c r="G126">
        <v>51.36</v>
      </c>
      <c r="H126">
        <v>1</v>
      </c>
      <c r="I126">
        <v>2.5680000000000001</v>
      </c>
      <c r="J126">
        <v>53.927999999999997</v>
      </c>
      <c r="K126" s="9">
        <v>43481</v>
      </c>
      <c r="L126" t="s">
        <v>269</v>
      </c>
      <c r="M126" t="s">
        <v>29</v>
      </c>
      <c r="N126">
        <v>51.36</v>
      </c>
      <c r="O126">
        <v>4.7619047620000003</v>
      </c>
      <c r="P126">
        <v>2.5680000000000001</v>
      </c>
      <c r="Q126">
        <v>5.2</v>
      </c>
      <c r="R126" t="s">
        <v>30</v>
      </c>
    </row>
    <row r="127" spans="1:18" x14ac:dyDescent="0.25">
      <c r="A127" t="s">
        <v>270</v>
      </c>
      <c r="B127" t="s">
        <v>23</v>
      </c>
      <c r="C127" t="s">
        <v>24</v>
      </c>
      <c r="D127" t="s">
        <v>25</v>
      </c>
      <c r="E127" t="s">
        <v>26</v>
      </c>
      <c r="F127" t="s">
        <v>60</v>
      </c>
      <c r="G127">
        <v>10.96</v>
      </c>
      <c r="H127">
        <v>10</v>
      </c>
      <c r="I127">
        <v>5.48</v>
      </c>
      <c r="J127">
        <v>115.08</v>
      </c>
      <c r="K127" s="9">
        <v>43498</v>
      </c>
      <c r="L127" t="s">
        <v>271</v>
      </c>
      <c r="M127" t="s">
        <v>29</v>
      </c>
      <c r="N127">
        <v>109.6</v>
      </c>
      <c r="O127">
        <v>4.7619047620000003</v>
      </c>
      <c r="P127">
        <v>5.48</v>
      </c>
      <c r="Q127">
        <v>6</v>
      </c>
      <c r="R127" t="s">
        <v>48</v>
      </c>
    </row>
    <row r="128" spans="1:18" x14ac:dyDescent="0.25">
      <c r="A128" t="s">
        <v>272</v>
      </c>
      <c r="B128" t="s">
        <v>58</v>
      </c>
      <c r="C128" t="s">
        <v>59</v>
      </c>
      <c r="D128" t="s">
        <v>25</v>
      </c>
      <c r="E128" t="s">
        <v>26</v>
      </c>
      <c r="F128" t="s">
        <v>40</v>
      </c>
      <c r="G128">
        <v>53.44</v>
      </c>
      <c r="H128">
        <v>2</v>
      </c>
      <c r="I128">
        <v>5.3440000000000003</v>
      </c>
      <c r="J128">
        <v>112.224</v>
      </c>
      <c r="K128" s="9">
        <v>43485</v>
      </c>
      <c r="L128" t="s">
        <v>228</v>
      </c>
      <c r="M128" t="s">
        <v>29</v>
      </c>
      <c r="N128">
        <v>106.88</v>
      </c>
      <c r="O128">
        <v>4.7619047620000003</v>
      </c>
      <c r="P128">
        <v>5.3440000000000003</v>
      </c>
      <c r="Q128">
        <v>4.0999999999999996</v>
      </c>
      <c r="R128" t="s">
        <v>30</v>
      </c>
    </row>
    <row r="129" spans="1:18" x14ac:dyDescent="0.25">
      <c r="A129" t="s">
        <v>273</v>
      </c>
      <c r="B129" t="s">
        <v>23</v>
      </c>
      <c r="C129" t="s">
        <v>24</v>
      </c>
      <c r="D129" t="s">
        <v>25</v>
      </c>
      <c r="E129" t="s">
        <v>26</v>
      </c>
      <c r="F129" t="s">
        <v>35</v>
      </c>
      <c r="G129">
        <v>99.56</v>
      </c>
      <c r="H129">
        <v>8</v>
      </c>
      <c r="I129">
        <v>39.823999999999998</v>
      </c>
      <c r="J129">
        <v>836.30399999999997</v>
      </c>
      <c r="K129" s="9">
        <v>43510</v>
      </c>
      <c r="L129" t="s">
        <v>66</v>
      </c>
      <c r="M129" t="s">
        <v>42</v>
      </c>
      <c r="N129">
        <v>796.48</v>
      </c>
      <c r="O129">
        <v>4.7619047620000003</v>
      </c>
      <c r="P129">
        <v>39.823999999999998</v>
      </c>
      <c r="Q129">
        <v>5.2</v>
      </c>
      <c r="R129" t="s">
        <v>48</v>
      </c>
    </row>
    <row r="130" spans="1:18" x14ac:dyDescent="0.25">
      <c r="A130" t="s">
        <v>274</v>
      </c>
      <c r="B130" t="s">
        <v>32</v>
      </c>
      <c r="C130" t="s">
        <v>33</v>
      </c>
      <c r="D130" t="s">
        <v>25</v>
      </c>
      <c r="E130" t="s">
        <v>26</v>
      </c>
      <c r="F130" t="s">
        <v>46</v>
      </c>
      <c r="G130">
        <v>57.12</v>
      </c>
      <c r="H130">
        <v>7</v>
      </c>
      <c r="I130">
        <v>19.992000000000001</v>
      </c>
      <c r="J130">
        <v>419.83199999999999</v>
      </c>
      <c r="K130" s="9">
        <v>43477</v>
      </c>
      <c r="L130" t="s">
        <v>275</v>
      </c>
      <c r="M130" t="s">
        <v>42</v>
      </c>
      <c r="N130">
        <v>399.84</v>
      </c>
      <c r="O130">
        <v>4.7619047620000003</v>
      </c>
      <c r="P130">
        <v>19.992000000000001</v>
      </c>
      <c r="Q130">
        <v>6.5</v>
      </c>
      <c r="R130" t="s">
        <v>30</v>
      </c>
    </row>
    <row r="131" spans="1:18" x14ac:dyDescent="0.25">
      <c r="A131" t="s">
        <v>276</v>
      </c>
      <c r="B131" t="s">
        <v>58</v>
      </c>
      <c r="C131" t="s">
        <v>59</v>
      </c>
      <c r="D131" t="s">
        <v>25</v>
      </c>
      <c r="E131" t="s">
        <v>26</v>
      </c>
      <c r="F131" t="s">
        <v>46</v>
      </c>
      <c r="G131">
        <v>99.96</v>
      </c>
      <c r="H131">
        <v>9</v>
      </c>
      <c r="I131">
        <v>44.981999999999999</v>
      </c>
      <c r="J131">
        <v>944.62199999999996</v>
      </c>
      <c r="K131" s="9">
        <v>43533</v>
      </c>
      <c r="L131" t="s">
        <v>277</v>
      </c>
      <c r="M131" t="s">
        <v>42</v>
      </c>
      <c r="N131">
        <v>899.64</v>
      </c>
      <c r="O131">
        <v>4.7619047620000003</v>
      </c>
      <c r="P131">
        <v>44.981999999999999</v>
      </c>
      <c r="Q131">
        <v>4.2</v>
      </c>
      <c r="R131" t="s">
        <v>38</v>
      </c>
    </row>
    <row r="132" spans="1:18" x14ac:dyDescent="0.25">
      <c r="A132" t="s">
        <v>278</v>
      </c>
      <c r="B132" t="s">
        <v>32</v>
      </c>
      <c r="C132" t="s">
        <v>33</v>
      </c>
      <c r="D132" t="s">
        <v>25</v>
      </c>
      <c r="E132" t="s">
        <v>26</v>
      </c>
      <c r="F132" t="s">
        <v>40</v>
      </c>
      <c r="G132">
        <v>63.91</v>
      </c>
      <c r="H132">
        <v>8</v>
      </c>
      <c r="I132">
        <v>25.564</v>
      </c>
      <c r="J132">
        <v>536.84400000000005</v>
      </c>
      <c r="K132" s="9">
        <v>43537</v>
      </c>
      <c r="L132" t="s">
        <v>279</v>
      </c>
      <c r="M132" t="s">
        <v>42</v>
      </c>
      <c r="N132">
        <v>511.28</v>
      </c>
      <c r="O132">
        <v>4.7619047620000003</v>
      </c>
      <c r="P132">
        <v>25.564</v>
      </c>
      <c r="Q132">
        <v>4.5999999999999996</v>
      </c>
      <c r="R132" t="s">
        <v>38</v>
      </c>
    </row>
    <row r="133" spans="1:18" x14ac:dyDescent="0.25">
      <c r="A133" t="s">
        <v>280</v>
      </c>
      <c r="B133" t="s">
        <v>58</v>
      </c>
      <c r="C133" t="s">
        <v>59</v>
      </c>
      <c r="D133" t="s">
        <v>25</v>
      </c>
      <c r="E133" t="s">
        <v>26</v>
      </c>
      <c r="F133" t="s">
        <v>63</v>
      </c>
      <c r="G133">
        <v>56.47</v>
      </c>
      <c r="H133">
        <v>8</v>
      </c>
      <c r="I133">
        <v>22.588000000000001</v>
      </c>
      <c r="J133">
        <v>474.34800000000001</v>
      </c>
      <c r="K133" s="9">
        <v>43533</v>
      </c>
      <c r="L133" t="s">
        <v>281</v>
      </c>
      <c r="M133" t="s">
        <v>29</v>
      </c>
      <c r="N133">
        <v>451.76</v>
      </c>
      <c r="O133">
        <v>4.7619047620000003</v>
      </c>
      <c r="P133">
        <v>22.588000000000001</v>
      </c>
      <c r="Q133">
        <v>7.3</v>
      </c>
      <c r="R133" t="s">
        <v>38</v>
      </c>
    </row>
    <row r="134" spans="1:18" x14ac:dyDescent="0.25">
      <c r="A134" t="s">
        <v>282</v>
      </c>
      <c r="B134" t="s">
        <v>23</v>
      </c>
      <c r="C134" t="s">
        <v>24</v>
      </c>
      <c r="D134" t="s">
        <v>25</v>
      </c>
      <c r="E134" t="s">
        <v>26</v>
      </c>
      <c r="F134" t="s">
        <v>40</v>
      </c>
      <c r="G134">
        <v>93.69</v>
      </c>
      <c r="H134">
        <v>7</v>
      </c>
      <c r="I134">
        <v>32.791499999999999</v>
      </c>
      <c r="J134">
        <v>688.62149999999997</v>
      </c>
      <c r="K134" s="9">
        <v>43534</v>
      </c>
      <c r="L134" t="s">
        <v>283</v>
      </c>
      <c r="M134" t="s">
        <v>42</v>
      </c>
      <c r="N134">
        <v>655.83</v>
      </c>
      <c r="O134">
        <v>4.7619047620000003</v>
      </c>
      <c r="P134">
        <v>32.791499999999999</v>
      </c>
      <c r="Q134">
        <v>4.5</v>
      </c>
      <c r="R134" t="s">
        <v>38</v>
      </c>
    </row>
    <row r="135" spans="1:18" x14ac:dyDescent="0.25">
      <c r="A135" t="s">
        <v>284</v>
      </c>
      <c r="B135" t="s">
        <v>23</v>
      </c>
      <c r="C135" t="s">
        <v>24</v>
      </c>
      <c r="D135" t="s">
        <v>25</v>
      </c>
      <c r="E135" t="s">
        <v>26</v>
      </c>
      <c r="F135" t="s">
        <v>46</v>
      </c>
      <c r="G135">
        <v>32.25</v>
      </c>
      <c r="H135">
        <v>5</v>
      </c>
      <c r="I135">
        <v>8.0625</v>
      </c>
      <c r="J135">
        <v>169.3125</v>
      </c>
      <c r="K135" s="9">
        <v>43492</v>
      </c>
      <c r="L135" t="s">
        <v>285</v>
      </c>
      <c r="M135" t="s">
        <v>37</v>
      </c>
      <c r="N135">
        <v>161.25</v>
      </c>
      <c r="O135">
        <v>4.7619047620000003</v>
      </c>
      <c r="P135">
        <v>8.0625</v>
      </c>
      <c r="Q135">
        <v>9</v>
      </c>
      <c r="R135" t="s">
        <v>30</v>
      </c>
    </row>
    <row r="136" spans="1:18" x14ac:dyDescent="0.25">
      <c r="A136" t="s">
        <v>286</v>
      </c>
      <c r="B136" t="s">
        <v>32</v>
      </c>
      <c r="C136" t="s">
        <v>33</v>
      </c>
      <c r="D136" t="s">
        <v>25</v>
      </c>
      <c r="E136" t="s">
        <v>26</v>
      </c>
      <c r="F136" t="s">
        <v>63</v>
      </c>
      <c r="G136">
        <v>31.73</v>
      </c>
      <c r="H136">
        <v>9</v>
      </c>
      <c r="I136">
        <v>14.278499999999999</v>
      </c>
      <c r="J136">
        <v>299.8485</v>
      </c>
      <c r="K136" s="9">
        <v>43473</v>
      </c>
      <c r="L136" t="s">
        <v>287</v>
      </c>
      <c r="M136" t="s">
        <v>42</v>
      </c>
      <c r="N136">
        <v>285.57</v>
      </c>
      <c r="O136">
        <v>4.7619047620000003</v>
      </c>
      <c r="P136">
        <v>14.278499999999999</v>
      </c>
      <c r="Q136">
        <v>5.9</v>
      </c>
      <c r="R136" t="s">
        <v>30</v>
      </c>
    </row>
    <row r="137" spans="1:18" x14ac:dyDescent="0.25">
      <c r="A137" t="s">
        <v>288</v>
      </c>
      <c r="B137" t="s">
        <v>32</v>
      </c>
      <c r="C137" t="s">
        <v>33</v>
      </c>
      <c r="D137" t="s">
        <v>25</v>
      </c>
      <c r="E137" t="s">
        <v>26</v>
      </c>
      <c r="F137" t="s">
        <v>60</v>
      </c>
      <c r="G137">
        <v>68.540000000000006</v>
      </c>
      <c r="H137">
        <v>8</v>
      </c>
      <c r="I137">
        <v>27.416</v>
      </c>
      <c r="J137">
        <v>575.73599999999999</v>
      </c>
      <c r="K137" s="9">
        <v>43473</v>
      </c>
      <c r="L137" t="s">
        <v>289</v>
      </c>
      <c r="M137" t="s">
        <v>29</v>
      </c>
      <c r="N137">
        <v>548.32000000000005</v>
      </c>
      <c r="O137">
        <v>4.7619047620000003</v>
      </c>
      <c r="P137">
        <v>27.416</v>
      </c>
      <c r="Q137">
        <v>8.5</v>
      </c>
      <c r="R137" t="s">
        <v>30</v>
      </c>
    </row>
    <row r="138" spans="1:18" x14ac:dyDescent="0.25">
      <c r="A138" t="s">
        <v>290</v>
      </c>
      <c r="B138" t="s">
        <v>58</v>
      </c>
      <c r="C138" t="s">
        <v>59</v>
      </c>
      <c r="D138" t="s">
        <v>25</v>
      </c>
      <c r="E138" t="s">
        <v>26</v>
      </c>
      <c r="F138" t="s">
        <v>46</v>
      </c>
      <c r="G138">
        <v>90.28</v>
      </c>
      <c r="H138">
        <v>9</v>
      </c>
      <c r="I138">
        <v>40.625999999999998</v>
      </c>
      <c r="J138">
        <v>853.14599999999996</v>
      </c>
      <c r="K138" s="9">
        <v>43504</v>
      </c>
      <c r="L138" t="s">
        <v>90</v>
      </c>
      <c r="M138" t="s">
        <v>29</v>
      </c>
      <c r="N138">
        <v>812.52</v>
      </c>
      <c r="O138">
        <v>4.7619047620000003</v>
      </c>
      <c r="P138">
        <v>40.625999999999998</v>
      </c>
      <c r="Q138">
        <v>7.2</v>
      </c>
      <c r="R138" t="s">
        <v>48</v>
      </c>
    </row>
    <row r="139" spans="1:18" x14ac:dyDescent="0.25">
      <c r="A139" t="s">
        <v>291</v>
      </c>
      <c r="B139" t="s">
        <v>58</v>
      </c>
      <c r="C139" t="s">
        <v>59</v>
      </c>
      <c r="D139" t="s">
        <v>34</v>
      </c>
      <c r="E139" t="s">
        <v>26</v>
      </c>
      <c r="F139" t="s">
        <v>63</v>
      </c>
      <c r="G139">
        <v>39.619999999999997</v>
      </c>
      <c r="H139">
        <v>7</v>
      </c>
      <c r="I139">
        <v>13.867000000000001</v>
      </c>
      <c r="J139">
        <v>291.20699999999999</v>
      </c>
      <c r="K139" s="9">
        <v>43490</v>
      </c>
      <c r="L139" t="s">
        <v>292</v>
      </c>
      <c r="M139" t="s">
        <v>37</v>
      </c>
      <c r="N139">
        <v>277.33999999999997</v>
      </c>
      <c r="O139">
        <v>4.7619047620000003</v>
      </c>
      <c r="P139">
        <v>13.867000000000001</v>
      </c>
      <c r="Q139">
        <v>7.5</v>
      </c>
      <c r="R139" t="s">
        <v>30</v>
      </c>
    </row>
    <row r="140" spans="1:18" x14ac:dyDescent="0.25">
      <c r="A140" t="s">
        <v>293</v>
      </c>
      <c r="B140" t="s">
        <v>23</v>
      </c>
      <c r="C140" t="s">
        <v>24</v>
      </c>
      <c r="D140" t="s">
        <v>25</v>
      </c>
      <c r="E140" t="s">
        <v>26</v>
      </c>
      <c r="F140" t="s">
        <v>46</v>
      </c>
      <c r="G140">
        <v>92.13</v>
      </c>
      <c r="H140">
        <v>6</v>
      </c>
      <c r="I140">
        <v>27.638999999999999</v>
      </c>
      <c r="J140">
        <v>580.41899999999998</v>
      </c>
      <c r="K140" s="9">
        <v>43530</v>
      </c>
      <c r="L140" t="s">
        <v>294</v>
      </c>
      <c r="M140" t="s">
        <v>37</v>
      </c>
      <c r="N140">
        <v>552.78</v>
      </c>
      <c r="O140">
        <v>4.7619047620000003</v>
      </c>
      <c r="P140">
        <v>27.638999999999999</v>
      </c>
      <c r="Q140">
        <v>8.3000000000000007</v>
      </c>
      <c r="R140" t="s">
        <v>38</v>
      </c>
    </row>
    <row r="141" spans="1:18" x14ac:dyDescent="0.25">
      <c r="A141" t="s">
        <v>295</v>
      </c>
      <c r="B141" t="s">
        <v>58</v>
      </c>
      <c r="C141" t="s">
        <v>59</v>
      </c>
      <c r="D141" t="s">
        <v>34</v>
      </c>
      <c r="E141" t="s">
        <v>26</v>
      </c>
      <c r="F141" t="s">
        <v>46</v>
      </c>
      <c r="G141">
        <v>34.840000000000003</v>
      </c>
      <c r="H141">
        <v>4</v>
      </c>
      <c r="I141">
        <v>6.968</v>
      </c>
      <c r="J141">
        <v>146.328</v>
      </c>
      <c r="K141" s="9">
        <v>43506</v>
      </c>
      <c r="L141" t="s">
        <v>296</v>
      </c>
      <c r="M141" t="s">
        <v>37</v>
      </c>
      <c r="N141">
        <v>139.36000000000001</v>
      </c>
      <c r="O141">
        <v>4.7619047620000003</v>
      </c>
      <c r="P141">
        <v>6.968</v>
      </c>
      <c r="Q141">
        <v>7.4</v>
      </c>
      <c r="R141" t="s">
        <v>48</v>
      </c>
    </row>
    <row r="142" spans="1:18" x14ac:dyDescent="0.25">
      <c r="A142" t="s">
        <v>297</v>
      </c>
      <c r="B142" t="s">
        <v>58</v>
      </c>
      <c r="C142" t="s">
        <v>59</v>
      </c>
      <c r="D142" t="s">
        <v>25</v>
      </c>
      <c r="E142" t="s">
        <v>26</v>
      </c>
      <c r="F142" t="s">
        <v>35</v>
      </c>
      <c r="G142">
        <v>87.45</v>
      </c>
      <c r="H142">
        <v>6</v>
      </c>
      <c r="I142">
        <v>26.234999999999999</v>
      </c>
      <c r="J142">
        <v>550.93499999999995</v>
      </c>
      <c r="K142" s="9">
        <v>43513</v>
      </c>
      <c r="L142" t="s">
        <v>298</v>
      </c>
      <c r="M142" t="s">
        <v>42</v>
      </c>
      <c r="N142">
        <v>524.70000000000005</v>
      </c>
      <c r="O142">
        <v>4.7619047620000003</v>
      </c>
      <c r="P142">
        <v>26.234999999999999</v>
      </c>
      <c r="Q142">
        <v>8.8000000000000007</v>
      </c>
      <c r="R142" t="s">
        <v>48</v>
      </c>
    </row>
    <row r="143" spans="1:18" x14ac:dyDescent="0.25">
      <c r="A143" t="s">
        <v>299</v>
      </c>
      <c r="B143" t="s">
        <v>32</v>
      </c>
      <c r="C143" t="s">
        <v>33</v>
      </c>
      <c r="D143" t="s">
        <v>34</v>
      </c>
      <c r="E143" t="s">
        <v>26</v>
      </c>
      <c r="F143" t="s">
        <v>27</v>
      </c>
      <c r="G143">
        <v>81.3</v>
      </c>
      <c r="H143">
        <v>6</v>
      </c>
      <c r="I143">
        <v>24.39</v>
      </c>
      <c r="J143">
        <v>512.19000000000005</v>
      </c>
      <c r="K143" s="9">
        <v>43532</v>
      </c>
      <c r="L143" t="s">
        <v>300</v>
      </c>
      <c r="M143" t="s">
        <v>29</v>
      </c>
      <c r="N143">
        <v>487.8</v>
      </c>
      <c r="O143">
        <v>4.7619047620000003</v>
      </c>
      <c r="P143">
        <v>24.39</v>
      </c>
      <c r="Q143">
        <v>5.3</v>
      </c>
      <c r="R143" t="s">
        <v>38</v>
      </c>
    </row>
    <row r="144" spans="1:18" x14ac:dyDescent="0.25">
      <c r="A144" t="s">
        <v>301</v>
      </c>
      <c r="B144" t="s">
        <v>32</v>
      </c>
      <c r="C144" t="s">
        <v>33</v>
      </c>
      <c r="D144" t="s">
        <v>34</v>
      </c>
      <c r="E144" t="s">
        <v>26</v>
      </c>
      <c r="F144" t="s">
        <v>63</v>
      </c>
      <c r="G144">
        <v>90.22</v>
      </c>
      <c r="H144">
        <v>3</v>
      </c>
      <c r="I144">
        <v>13.532999999999999</v>
      </c>
      <c r="J144">
        <v>284.19299999999998</v>
      </c>
      <c r="K144" s="9">
        <v>43514</v>
      </c>
      <c r="L144" t="s">
        <v>104</v>
      </c>
      <c r="M144" t="s">
        <v>37</v>
      </c>
      <c r="N144">
        <v>270.66000000000003</v>
      </c>
      <c r="O144">
        <v>4.7619047620000003</v>
      </c>
      <c r="P144">
        <v>13.532999999999999</v>
      </c>
      <c r="Q144">
        <v>6.2</v>
      </c>
      <c r="R144" t="s">
        <v>48</v>
      </c>
    </row>
    <row r="145" spans="1:18" x14ac:dyDescent="0.25">
      <c r="A145" t="s">
        <v>302</v>
      </c>
      <c r="B145" t="s">
        <v>23</v>
      </c>
      <c r="C145" t="s">
        <v>24</v>
      </c>
      <c r="D145" t="s">
        <v>34</v>
      </c>
      <c r="E145" t="s">
        <v>26</v>
      </c>
      <c r="F145" t="s">
        <v>35</v>
      </c>
      <c r="G145">
        <v>26.31</v>
      </c>
      <c r="H145">
        <v>5</v>
      </c>
      <c r="I145">
        <v>6.5774999999999997</v>
      </c>
      <c r="J145">
        <v>138.1275</v>
      </c>
      <c r="K145" s="9">
        <v>43483</v>
      </c>
      <c r="L145" t="s">
        <v>303</v>
      </c>
      <c r="M145" t="s">
        <v>42</v>
      </c>
      <c r="N145">
        <v>131.55000000000001</v>
      </c>
      <c r="O145">
        <v>4.7619047620000003</v>
      </c>
      <c r="P145">
        <v>6.5774999999999997</v>
      </c>
      <c r="Q145">
        <v>8.8000000000000007</v>
      </c>
      <c r="R145" t="s">
        <v>30</v>
      </c>
    </row>
    <row r="146" spans="1:18" x14ac:dyDescent="0.25">
      <c r="A146" t="s">
        <v>304</v>
      </c>
      <c r="B146" t="s">
        <v>23</v>
      </c>
      <c r="C146" t="s">
        <v>24</v>
      </c>
      <c r="D146" t="s">
        <v>25</v>
      </c>
      <c r="E146" t="s">
        <v>26</v>
      </c>
      <c r="F146" t="s">
        <v>40</v>
      </c>
      <c r="G146">
        <v>34.42</v>
      </c>
      <c r="H146">
        <v>6</v>
      </c>
      <c r="I146">
        <v>10.326000000000001</v>
      </c>
      <c r="J146">
        <v>216.846</v>
      </c>
      <c r="K146" s="9">
        <v>43514</v>
      </c>
      <c r="L146" t="s">
        <v>305</v>
      </c>
      <c r="M146" t="s">
        <v>37</v>
      </c>
      <c r="N146">
        <v>206.52</v>
      </c>
      <c r="O146">
        <v>4.7619047620000003</v>
      </c>
      <c r="P146">
        <v>10.326000000000001</v>
      </c>
      <c r="Q146">
        <v>9.8000000000000007</v>
      </c>
      <c r="R146" t="s">
        <v>48</v>
      </c>
    </row>
    <row r="147" spans="1:18" x14ac:dyDescent="0.25">
      <c r="A147" t="s">
        <v>306</v>
      </c>
      <c r="B147" t="s">
        <v>58</v>
      </c>
      <c r="C147" t="s">
        <v>59</v>
      </c>
      <c r="D147" t="s">
        <v>34</v>
      </c>
      <c r="E147" t="s">
        <v>26</v>
      </c>
      <c r="F147" t="s">
        <v>46</v>
      </c>
      <c r="G147">
        <v>51.91</v>
      </c>
      <c r="H147">
        <v>10</v>
      </c>
      <c r="I147">
        <v>25.954999999999998</v>
      </c>
      <c r="J147">
        <v>545.05499999999995</v>
      </c>
      <c r="K147" s="9">
        <v>43512</v>
      </c>
      <c r="L147" t="s">
        <v>307</v>
      </c>
      <c r="M147" t="s">
        <v>37</v>
      </c>
      <c r="N147">
        <v>519.1</v>
      </c>
      <c r="O147">
        <v>4.7619047620000003</v>
      </c>
      <c r="P147">
        <v>25.954999999999998</v>
      </c>
      <c r="Q147">
        <v>8.1999999999999993</v>
      </c>
      <c r="R147" t="s">
        <v>48</v>
      </c>
    </row>
    <row r="148" spans="1:18" x14ac:dyDescent="0.25">
      <c r="A148" t="s">
        <v>308</v>
      </c>
      <c r="B148" t="s">
        <v>23</v>
      </c>
      <c r="C148" t="s">
        <v>24</v>
      </c>
      <c r="D148" t="s">
        <v>34</v>
      </c>
      <c r="E148" t="s">
        <v>26</v>
      </c>
      <c r="F148" t="s">
        <v>46</v>
      </c>
      <c r="G148">
        <v>72.5</v>
      </c>
      <c r="H148">
        <v>8</v>
      </c>
      <c r="I148">
        <v>29</v>
      </c>
      <c r="J148">
        <v>609</v>
      </c>
      <c r="K148" s="9">
        <v>43540</v>
      </c>
      <c r="L148" t="s">
        <v>309</v>
      </c>
      <c r="M148" t="s">
        <v>29</v>
      </c>
      <c r="N148">
        <v>580</v>
      </c>
      <c r="O148">
        <v>4.7619047620000003</v>
      </c>
      <c r="P148">
        <v>29</v>
      </c>
      <c r="Q148">
        <v>9.1999999999999993</v>
      </c>
      <c r="R148" t="s">
        <v>38</v>
      </c>
    </row>
    <row r="149" spans="1:18" x14ac:dyDescent="0.25">
      <c r="A149" t="s">
        <v>310</v>
      </c>
      <c r="B149" t="s">
        <v>32</v>
      </c>
      <c r="C149" t="s">
        <v>33</v>
      </c>
      <c r="D149" t="s">
        <v>25</v>
      </c>
      <c r="E149" t="s">
        <v>26</v>
      </c>
      <c r="F149" t="s">
        <v>46</v>
      </c>
      <c r="G149">
        <v>89.8</v>
      </c>
      <c r="H149">
        <v>10</v>
      </c>
      <c r="I149">
        <v>44.9</v>
      </c>
      <c r="J149">
        <v>942.9</v>
      </c>
      <c r="K149" s="9">
        <v>43488</v>
      </c>
      <c r="L149" t="s">
        <v>311</v>
      </c>
      <c r="M149" t="s">
        <v>42</v>
      </c>
      <c r="N149">
        <v>898</v>
      </c>
      <c r="O149">
        <v>4.7619047620000003</v>
      </c>
      <c r="P149">
        <v>44.9</v>
      </c>
      <c r="Q149">
        <v>5.4</v>
      </c>
      <c r="R149" t="s">
        <v>30</v>
      </c>
    </row>
    <row r="150" spans="1:18" x14ac:dyDescent="0.25">
      <c r="A150" t="s">
        <v>312</v>
      </c>
      <c r="B150" t="s">
        <v>32</v>
      </c>
      <c r="C150" t="s">
        <v>33</v>
      </c>
      <c r="D150" t="s">
        <v>25</v>
      </c>
      <c r="E150" t="s">
        <v>313</v>
      </c>
      <c r="F150" t="s">
        <v>27</v>
      </c>
      <c r="G150">
        <v>90.5</v>
      </c>
      <c r="H150">
        <v>10</v>
      </c>
      <c r="I150">
        <v>45.25</v>
      </c>
      <c r="J150">
        <v>950.25</v>
      </c>
      <c r="K150" s="9">
        <v>43490</v>
      </c>
      <c r="L150" t="s">
        <v>314</v>
      </c>
      <c r="M150" t="s">
        <v>37</v>
      </c>
      <c r="N150">
        <v>905</v>
      </c>
      <c r="O150">
        <v>4.7619047620000003</v>
      </c>
      <c r="P150">
        <v>45.25</v>
      </c>
      <c r="Q150">
        <v>8.1</v>
      </c>
      <c r="R150" t="s">
        <v>30</v>
      </c>
    </row>
    <row r="151" spans="1:18" x14ac:dyDescent="0.25">
      <c r="A151" t="s">
        <v>315</v>
      </c>
      <c r="B151" t="s">
        <v>32</v>
      </c>
      <c r="C151" t="s">
        <v>33</v>
      </c>
      <c r="D151" t="s">
        <v>25</v>
      </c>
      <c r="E151" t="s">
        <v>26</v>
      </c>
      <c r="F151" t="s">
        <v>27</v>
      </c>
      <c r="G151">
        <v>68.599999999999994</v>
      </c>
      <c r="H151">
        <v>10</v>
      </c>
      <c r="I151">
        <v>34.299999999999997</v>
      </c>
      <c r="J151">
        <v>720.3</v>
      </c>
      <c r="K151" s="9">
        <v>43501</v>
      </c>
      <c r="L151" t="s">
        <v>316</v>
      </c>
      <c r="M151" t="s">
        <v>37</v>
      </c>
      <c r="N151">
        <v>686</v>
      </c>
      <c r="O151">
        <v>4.7619047620000003</v>
      </c>
      <c r="P151">
        <v>34.299999999999997</v>
      </c>
      <c r="Q151">
        <v>9.1</v>
      </c>
      <c r="R151" t="s">
        <v>48</v>
      </c>
    </row>
    <row r="152" spans="1:18" x14ac:dyDescent="0.25">
      <c r="A152" t="s">
        <v>317</v>
      </c>
      <c r="B152" t="s">
        <v>32</v>
      </c>
      <c r="C152" t="s">
        <v>33</v>
      </c>
      <c r="D152" t="s">
        <v>25</v>
      </c>
      <c r="E152" t="s">
        <v>26</v>
      </c>
      <c r="F152" t="s">
        <v>60</v>
      </c>
      <c r="G152">
        <v>30.41</v>
      </c>
      <c r="H152">
        <v>1</v>
      </c>
      <c r="I152">
        <v>1.5205</v>
      </c>
      <c r="J152">
        <v>31.930499999999999</v>
      </c>
      <c r="K152" s="9">
        <v>43518</v>
      </c>
      <c r="L152" t="s">
        <v>318</v>
      </c>
      <c r="M152" t="s">
        <v>42</v>
      </c>
      <c r="N152">
        <v>30.41</v>
      </c>
      <c r="O152">
        <v>4.7619047620000003</v>
      </c>
      <c r="P152">
        <v>1.5205</v>
      </c>
      <c r="Q152">
        <v>8.4</v>
      </c>
      <c r="R152" t="s">
        <v>48</v>
      </c>
    </row>
    <row r="153" spans="1:18" x14ac:dyDescent="0.25">
      <c r="A153" t="s">
        <v>319</v>
      </c>
      <c r="B153" t="s">
        <v>23</v>
      </c>
      <c r="C153" t="s">
        <v>24</v>
      </c>
      <c r="D153" t="s">
        <v>34</v>
      </c>
      <c r="E153" t="s">
        <v>26</v>
      </c>
      <c r="F153" t="s">
        <v>40</v>
      </c>
      <c r="G153">
        <v>77.95</v>
      </c>
      <c r="H153">
        <v>6</v>
      </c>
      <c r="I153">
        <v>23.385000000000002</v>
      </c>
      <c r="J153">
        <v>491.08499999999998</v>
      </c>
      <c r="K153" s="9">
        <v>43486</v>
      </c>
      <c r="L153" t="s">
        <v>320</v>
      </c>
      <c r="M153" t="s">
        <v>29</v>
      </c>
      <c r="N153">
        <v>467.7</v>
      </c>
      <c r="O153">
        <v>4.7619047620000003</v>
      </c>
      <c r="P153">
        <v>23.385000000000002</v>
      </c>
      <c r="Q153">
        <v>8</v>
      </c>
      <c r="R153" t="s">
        <v>30</v>
      </c>
    </row>
    <row r="154" spans="1:18" x14ac:dyDescent="0.25">
      <c r="A154" t="s">
        <v>321</v>
      </c>
      <c r="B154" t="s">
        <v>32</v>
      </c>
      <c r="C154" t="s">
        <v>33</v>
      </c>
      <c r="D154" t="s">
        <v>34</v>
      </c>
      <c r="E154" t="s">
        <v>26</v>
      </c>
      <c r="F154" t="s">
        <v>27</v>
      </c>
      <c r="G154">
        <v>46.26</v>
      </c>
      <c r="H154">
        <v>6</v>
      </c>
      <c r="I154">
        <v>13.878</v>
      </c>
      <c r="J154">
        <v>291.43799999999999</v>
      </c>
      <c r="K154" s="9">
        <v>43532</v>
      </c>
      <c r="L154" t="s">
        <v>322</v>
      </c>
      <c r="M154" t="s">
        <v>42</v>
      </c>
      <c r="N154">
        <v>277.56</v>
      </c>
      <c r="O154">
        <v>4.7619047620000003</v>
      </c>
      <c r="P154">
        <v>13.878</v>
      </c>
      <c r="Q154">
        <v>9.5</v>
      </c>
      <c r="R154" t="s">
        <v>38</v>
      </c>
    </row>
    <row r="155" spans="1:18" x14ac:dyDescent="0.25">
      <c r="A155" t="s">
        <v>323</v>
      </c>
      <c r="B155" t="s">
        <v>23</v>
      </c>
      <c r="C155" t="s">
        <v>24</v>
      </c>
      <c r="D155" t="s">
        <v>25</v>
      </c>
      <c r="E155" t="s">
        <v>26</v>
      </c>
      <c r="F155" t="s">
        <v>63</v>
      </c>
      <c r="G155">
        <v>30.14</v>
      </c>
      <c r="H155">
        <v>10</v>
      </c>
      <c r="I155">
        <v>15.07</v>
      </c>
      <c r="J155">
        <v>316.47000000000003</v>
      </c>
      <c r="K155" s="9">
        <v>43506</v>
      </c>
      <c r="L155" t="s">
        <v>114</v>
      </c>
      <c r="M155" t="s">
        <v>29</v>
      </c>
      <c r="N155">
        <v>301.39999999999998</v>
      </c>
      <c r="O155">
        <v>4.7619047620000003</v>
      </c>
      <c r="P155">
        <v>15.07</v>
      </c>
      <c r="Q155">
        <v>9.1999999999999993</v>
      </c>
      <c r="R155" t="s">
        <v>48</v>
      </c>
    </row>
    <row r="156" spans="1:18" x14ac:dyDescent="0.25">
      <c r="A156" t="s">
        <v>324</v>
      </c>
      <c r="B156" t="s">
        <v>32</v>
      </c>
      <c r="C156" t="s">
        <v>33</v>
      </c>
      <c r="D156" t="s">
        <v>34</v>
      </c>
      <c r="E156" t="s">
        <v>313</v>
      </c>
      <c r="F156" t="s">
        <v>27</v>
      </c>
      <c r="G156">
        <v>66.14</v>
      </c>
      <c r="H156">
        <v>4</v>
      </c>
      <c r="I156">
        <v>13.228</v>
      </c>
      <c r="J156">
        <v>277.78800000000001</v>
      </c>
      <c r="K156" s="9">
        <v>43543</v>
      </c>
      <c r="L156" t="s">
        <v>183</v>
      </c>
      <c r="M156" t="s">
        <v>42</v>
      </c>
      <c r="N156">
        <v>264.56</v>
      </c>
      <c r="O156">
        <v>4.7619047620000003</v>
      </c>
      <c r="P156">
        <v>13.228</v>
      </c>
      <c r="Q156">
        <v>5.6</v>
      </c>
      <c r="R156" t="s">
        <v>38</v>
      </c>
    </row>
    <row r="157" spans="1:18" x14ac:dyDescent="0.25">
      <c r="A157" t="s">
        <v>325</v>
      </c>
      <c r="B157" t="s">
        <v>58</v>
      </c>
      <c r="C157" t="s">
        <v>59</v>
      </c>
      <c r="D157" t="s">
        <v>25</v>
      </c>
      <c r="E157" t="s">
        <v>313</v>
      </c>
      <c r="F157" t="s">
        <v>40</v>
      </c>
      <c r="G157">
        <v>71.86</v>
      </c>
      <c r="H157">
        <v>8</v>
      </c>
      <c r="I157">
        <v>28.744</v>
      </c>
      <c r="J157">
        <v>603.62400000000002</v>
      </c>
      <c r="K157" s="9">
        <v>43530</v>
      </c>
      <c r="L157" t="s">
        <v>326</v>
      </c>
      <c r="M157" t="s">
        <v>42</v>
      </c>
      <c r="N157">
        <v>574.88</v>
      </c>
      <c r="O157">
        <v>4.7619047620000003</v>
      </c>
      <c r="P157">
        <v>28.744</v>
      </c>
      <c r="Q157">
        <v>6.2</v>
      </c>
      <c r="R157" t="s">
        <v>38</v>
      </c>
    </row>
    <row r="158" spans="1:18" x14ac:dyDescent="0.25">
      <c r="A158" t="s">
        <v>327</v>
      </c>
      <c r="B158" t="s">
        <v>23</v>
      </c>
      <c r="C158" t="s">
        <v>24</v>
      </c>
      <c r="D158" t="s">
        <v>34</v>
      </c>
      <c r="E158" t="s">
        <v>313</v>
      </c>
      <c r="F158" t="s">
        <v>27</v>
      </c>
      <c r="G158">
        <v>32.46</v>
      </c>
      <c r="H158">
        <v>8</v>
      </c>
      <c r="I158">
        <v>12.984</v>
      </c>
      <c r="J158">
        <v>272.66399999999999</v>
      </c>
      <c r="K158" s="9">
        <v>43551</v>
      </c>
      <c r="L158" t="s">
        <v>314</v>
      </c>
      <c r="M158" t="s">
        <v>42</v>
      </c>
      <c r="N158">
        <v>259.68</v>
      </c>
      <c r="O158">
        <v>4.7619047620000003</v>
      </c>
      <c r="P158">
        <v>12.984</v>
      </c>
      <c r="Q158">
        <v>4.9000000000000004</v>
      </c>
      <c r="R158" t="s">
        <v>38</v>
      </c>
    </row>
    <row r="159" spans="1:18" x14ac:dyDescent="0.25">
      <c r="A159" t="s">
        <v>328</v>
      </c>
      <c r="B159" t="s">
        <v>58</v>
      </c>
      <c r="C159" t="s">
        <v>59</v>
      </c>
      <c r="D159" t="s">
        <v>25</v>
      </c>
      <c r="E159" t="s">
        <v>26</v>
      </c>
      <c r="F159" t="s">
        <v>63</v>
      </c>
      <c r="G159">
        <v>91.54</v>
      </c>
      <c r="H159">
        <v>4</v>
      </c>
      <c r="I159">
        <v>18.308</v>
      </c>
      <c r="J159">
        <v>384.46800000000002</v>
      </c>
      <c r="K159" s="9">
        <v>43547</v>
      </c>
      <c r="L159" t="s">
        <v>94</v>
      </c>
      <c r="M159" t="s">
        <v>42</v>
      </c>
      <c r="N159">
        <v>366.16</v>
      </c>
      <c r="O159">
        <v>4.7619047620000003</v>
      </c>
      <c r="P159">
        <v>18.308</v>
      </c>
      <c r="Q159">
        <v>4.8</v>
      </c>
      <c r="R159" t="s">
        <v>38</v>
      </c>
    </row>
    <row r="160" spans="1:18" x14ac:dyDescent="0.25">
      <c r="A160" t="s">
        <v>329</v>
      </c>
      <c r="B160" t="s">
        <v>32</v>
      </c>
      <c r="C160" t="s">
        <v>33</v>
      </c>
      <c r="D160" t="s">
        <v>25</v>
      </c>
      <c r="E160" t="s">
        <v>313</v>
      </c>
      <c r="F160" t="s">
        <v>46</v>
      </c>
      <c r="G160">
        <v>34.56</v>
      </c>
      <c r="H160">
        <v>7</v>
      </c>
      <c r="I160">
        <v>12.096</v>
      </c>
      <c r="J160">
        <v>254.01599999999999</v>
      </c>
      <c r="K160" s="9">
        <v>43535</v>
      </c>
      <c r="L160" t="s">
        <v>330</v>
      </c>
      <c r="M160" t="s">
        <v>42</v>
      </c>
      <c r="N160">
        <v>241.92</v>
      </c>
      <c r="O160">
        <v>4.7619047620000003</v>
      </c>
      <c r="P160">
        <v>12.096</v>
      </c>
      <c r="Q160">
        <v>7.3</v>
      </c>
      <c r="R160" t="s">
        <v>38</v>
      </c>
    </row>
    <row r="161" spans="1:18" x14ac:dyDescent="0.25">
      <c r="A161" t="s">
        <v>331</v>
      </c>
      <c r="B161" t="s">
        <v>23</v>
      </c>
      <c r="C161" t="s">
        <v>24</v>
      </c>
      <c r="D161" t="s">
        <v>34</v>
      </c>
      <c r="E161" t="s">
        <v>313</v>
      </c>
      <c r="F161" t="s">
        <v>63</v>
      </c>
      <c r="G161">
        <v>83.24</v>
      </c>
      <c r="H161">
        <v>9</v>
      </c>
      <c r="I161">
        <v>37.457999999999998</v>
      </c>
      <c r="J161">
        <v>786.61800000000005</v>
      </c>
      <c r="K161" s="9">
        <v>43494</v>
      </c>
      <c r="L161" t="s">
        <v>332</v>
      </c>
      <c r="M161" t="s">
        <v>42</v>
      </c>
      <c r="N161">
        <v>749.16</v>
      </c>
      <c r="O161">
        <v>4.7619047620000003</v>
      </c>
      <c r="P161">
        <v>37.457999999999998</v>
      </c>
      <c r="Q161">
        <v>7.4</v>
      </c>
      <c r="R161" t="s">
        <v>30</v>
      </c>
    </row>
    <row r="162" spans="1:18" x14ac:dyDescent="0.25">
      <c r="A162" t="s">
        <v>333</v>
      </c>
      <c r="B162" t="s">
        <v>32</v>
      </c>
      <c r="C162" t="s">
        <v>33</v>
      </c>
      <c r="D162" t="s">
        <v>34</v>
      </c>
      <c r="E162" t="s">
        <v>26</v>
      </c>
      <c r="F162" t="s">
        <v>60</v>
      </c>
      <c r="G162">
        <v>16.48</v>
      </c>
      <c r="H162">
        <v>6</v>
      </c>
      <c r="I162">
        <v>4.944</v>
      </c>
      <c r="J162">
        <v>103.824</v>
      </c>
      <c r="K162" s="9">
        <v>43503</v>
      </c>
      <c r="L162" t="s">
        <v>334</v>
      </c>
      <c r="M162" t="s">
        <v>29</v>
      </c>
      <c r="N162">
        <v>98.88</v>
      </c>
      <c r="O162">
        <v>4.7619047620000003</v>
      </c>
      <c r="P162">
        <v>4.944</v>
      </c>
      <c r="Q162">
        <v>9.9</v>
      </c>
      <c r="R162" t="s">
        <v>48</v>
      </c>
    </row>
    <row r="163" spans="1:18" x14ac:dyDescent="0.25">
      <c r="A163" t="s">
        <v>335</v>
      </c>
      <c r="B163" t="s">
        <v>32</v>
      </c>
      <c r="C163" t="s">
        <v>33</v>
      </c>
      <c r="D163" t="s">
        <v>34</v>
      </c>
      <c r="E163" t="s">
        <v>26</v>
      </c>
      <c r="F163" t="s">
        <v>46</v>
      </c>
      <c r="G163">
        <v>80.97</v>
      </c>
      <c r="H163">
        <v>8</v>
      </c>
      <c r="I163">
        <v>32.387999999999998</v>
      </c>
      <c r="J163">
        <v>680.14800000000002</v>
      </c>
      <c r="K163" s="9">
        <v>43493</v>
      </c>
      <c r="L163" t="s">
        <v>336</v>
      </c>
      <c r="M163" t="s">
        <v>37</v>
      </c>
      <c r="N163">
        <v>647.76</v>
      </c>
      <c r="O163">
        <v>4.7619047620000003</v>
      </c>
      <c r="P163">
        <v>32.387999999999998</v>
      </c>
      <c r="Q163">
        <v>9.3000000000000007</v>
      </c>
      <c r="R163" t="s">
        <v>30</v>
      </c>
    </row>
    <row r="164" spans="1:18" x14ac:dyDescent="0.25">
      <c r="A164" t="s">
        <v>337</v>
      </c>
      <c r="B164" t="s">
        <v>23</v>
      </c>
      <c r="C164" t="s">
        <v>24</v>
      </c>
      <c r="D164" t="s">
        <v>25</v>
      </c>
      <c r="E164" t="s">
        <v>313</v>
      </c>
      <c r="F164" t="s">
        <v>60</v>
      </c>
      <c r="G164">
        <v>92.29</v>
      </c>
      <c r="H164">
        <v>5</v>
      </c>
      <c r="I164">
        <v>23.072500000000002</v>
      </c>
      <c r="J164">
        <v>484.52249999999998</v>
      </c>
      <c r="K164" s="9">
        <v>43516</v>
      </c>
      <c r="L164" t="s">
        <v>159</v>
      </c>
      <c r="M164" t="s">
        <v>42</v>
      </c>
      <c r="N164">
        <v>461.45</v>
      </c>
      <c r="O164">
        <v>4.7619047620000003</v>
      </c>
      <c r="P164">
        <v>23.072500000000002</v>
      </c>
      <c r="Q164">
        <v>9</v>
      </c>
      <c r="R164" t="s">
        <v>48</v>
      </c>
    </row>
    <row r="165" spans="1:18" x14ac:dyDescent="0.25">
      <c r="A165" t="s">
        <v>338</v>
      </c>
      <c r="B165" t="s">
        <v>58</v>
      </c>
      <c r="C165" t="s">
        <v>59</v>
      </c>
      <c r="D165" t="s">
        <v>25</v>
      </c>
      <c r="E165" t="s">
        <v>313</v>
      </c>
      <c r="F165" t="s">
        <v>35</v>
      </c>
      <c r="G165">
        <v>72.17</v>
      </c>
      <c r="H165">
        <v>1</v>
      </c>
      <c r="I165">
        <v>3.6084999999999998</v>
      </c>
      <c r="J165">
        <v>75.778499999999994</v>
      </c>
      <c r="K165" s="9">
        <v>43469</v>
      </c>
      <c r="L165" t="s">
        <v>339</v>
      </c>
      <c r="M165" t="s">
        <v>37</v>
      </c>
      <c r="N165">
        <v>72.17</v>
      </c>
      <c r="O165">
        <v>4.7619047620000003</v>
      </c>
      <c r="P165">
        <v>3.6084999999999998</v>
      </c>
      <c r="Q165">
        <v>6.1</v>
      </c>
      <c r="R165" t="s">
        <v>30</v>
      </c>
    </row>
    <row r="166" spans="1:18" x14ac:dyDescent="0.25">
      <c r="A166" t="s">
        <v>340</v>
      </c>
      <c r="B166" t="s">
        <v>58</v>
      </c>
      <c r="C166" t="s">
        <v>59</v>
      </c>
      <c r="D166" t="s">
        <v>34</v>
      </c>
      <c r="E166" t="s">
        <v>313</v>
      </c>
      <c r="F166" t="s">
        <v>40</v>
      </c>
      <c r="G166">
        <v>50.28</v>
      </c>
      <c r="H166">
        <v>5</v>
      </c>
      <c r="I166">
        <v>12.57</v>
      </c>
      <c r="J166">
        <v>263.97000000000003</v>
      </c>
      <c r="K166" s="9">
        <v>43531</v>
      </c>
      <c r="L166" t="s">
        <v>341</v>
      </c>
      <c r="M166" t="s">
        <v>29</v>
      </c>
      <c r="N166">
        <v>251.4</v>
      </c>
      <c r="O166">
        <v>4.7619047620000003</v>
      </c>
      <c r="P166">
        <v>12.57</v>
      </c>
      <c r="Q166">
        <v>9.6999999999999993</v>
      </c>
      <c r="R166" t="s">
        <v>38</v>
      </c>
    </row>
    <row r="167" spans="1:18" x14ac:dyDescent="0.25">
      <c r="A167" t="s">
        <v>342</v>
      </c>
      <c r="B167" t="s">
        <v>58</v>
      </c>
      <c r="C167" t="s">
        <v>59</v>
      </c>
      <c r="D167" t="s">
        <v>25</v>
      </c>
      <c r="E167" t="s">
        <v>313</v>
      </c>
      <c r="F167" t="s">
        <v>27</v>
      </c>
      <c r="G167">
        <v>97.22</v>
      </c>
      <c r="H167">
        <v>9</v>
      </c>
      <c r="I167">
        <v>43.749000000000002</v>
      </c>
      <c r="J167">
        <v>918.72900000000004</v>
      </c>
      <c r="K167" s="9">
        <v>43554</v>
      </c>
      <c r="L167" t="s">
        <v>343</v>
      </c>
      <c r="M167" t="s">
        <v>29</v>
      </c>
      <c r="N167">
        <v>874.98</v>
      </c>
      <c r="O167">
        <v>4.7619047620000003</v>
      </c>
      <c r="P167">
        <v>43.749000000000002</v>
      </c>
      <c r="Q167">
        <v>6</v>
      </c>
      <c r="R167" t="s">
        <v>38</v>
      </c>
    </row>
    <row r="168" spans="1:18" x14ac:dyDescent="0.25">
      <c r="A168" t="s">
        <v>344</v>
      </c>
      <c r="B168" t="s">
        <v>58</v>
      </c>
      <c r="C168" t="s">
        <v>59</v>
      </c>
      <c r="D168" t="s">
        <v>34</v>
      </c>
      <c r="E168" t="s">
        <v>313</v>
      </c>
      <c r="F168" t="s">
        <v>46</v>
      </c>
      <c r="G168">
        <v>93.39</v>
      </c>
      <c r="H168">
        <v>6</v>
      </c>
      <c r="I168">
        <v>28.016999999999999</v>
      </c>
      <c r="J168">
        <v>588.35699999999997</v>
      </c>
      <c r="K168" s="9">
        <v>43551</v>
      </c>
      <c r="L168" t="s">
        <v>345</v>
      </c>
      <c r="M168" t="s">
        <v>29</v>
      </c>
      <c r="N168">
        <v>560.34</v>
      </c>
      <c r="O168">
        <v>4.7619047620000003</v>
      </c>
      <c r="P168">
        <v>28.016999999999999</v>
      </c>
      <c r="Q168">
        <v>10</v>
      </c>
      <c r="R168" t="s">
        <v>38</v>
      </c>
    </row>
    <row r="169" spans="1:18" x14ac:dyDescent="0.25">
      <c r="A169" t="s">
        <v>346</v>
      </c>
      <c r="B169" t="s">
        <v>32</v>
      </c>
      <c r="C169" t="s">
        <v>33</v>
      </c>
      <c r="D169" t="s">
        <v>34</v>
      </c>
      <c r="E169" t="s">
        <v>26</v>
      </c>
      <c r="F169" t="s">
        <v>60</v>
      </c>
      <c r="G169">
        <v>43.18</v>
      </c>
      <c r="H169">
        <v>8</v>
      </c>
      <c r="I169">
        <v>17.271999999999998</v>
      </c>
      <c r="J169">
        <v>362.71199999999999</v>
      </c>
      <c r="K169" s="9">
        <v>43484</v>
      </c>
      <c r="L169" t="s">
        <v>104</v>
      </c>
      <c r="M169" t="s">
        <v>42</v>
      </c>
      <c r="N169">
        <v>345.44</v>
      </c>
      <c r="O169">
        <v>4.7619047620000003</v>
      </c>
      <c r="P169">
        <v>17.271999999999998</v>
      </c>
      <c r="Q169">
        <v>8.3000000000000007</v>
      </c>
      <c r="R169" t="s">
        <v>30</v>
      </c>
    </row>
    <row r="170" spans="1:18" x14ac:dyDescent="0.25">
      <c r="A170" t="s">
        <v>347</v>
      </c>
      <c r="B170" t="s">
        <v>23</v>
      </c>
      <c r="C170" t="s">
        <v>24</v>
      </c>
      <c r="D170" t="s">
        <v>34</v>
      </c>
      <c r="E170" t="s">
        <v>313</v>
      </c>
      <c r="F170" t="s">
        <v>46</v>
      </c>
      <c r="G170">
        <v>63.69</v>
      </c>
      <c r="H170">
        <v>1</v>
      </c>
      <c r="I170">
        <v>3.1844999999999999</v>
      </c>
      <c r="J170">
        <v>66.874499999999998</v>
      </c>
      <c r="K170" s="9">
        <v>43521</v>
      </c>
      <c r="L170" t="s">
        <v>348</v>
      </c>
      <c r="M170" t="s">
        <v>37</v>
      </c>
      <c r="N170">
        <v>63.69</v>
      </c>
      <c r="O170">
        <v>4.7619047620000003</v>
      </c>
      <c r="P170">
        <v>3.1844999999999999</v>
      </c>
      <c r="Q170">
        <v>6</v>
      </c>
      <c r="R170" t="s">
        <v>48</v>
      </c>
    </row>
    <row r="171" spans="1:18" x14ac:dyDescent="0.25">
      <c r="A171" t="s">
        <v>349</v>
      </c>
      <c r="B171" t="s">
        <v>23</v>
      </c>
      <c r="C171" t="s">
        <v>24</v>
      </c>
      <c r="D171" t="s">
        <v>34</v>
      </c>
      <c r="E171" t="s">
        <v>313</v>
      </c>
      <c r="F171" t="s">
        <v>60</v>
      </c>
      <c r="G171">
        <v>45.79</v>
      </c>
      <c r="H171">
        <v>7</v>
      </c>
      <c r="I171">
        <v>16.026499999999999</v>
      </c>
      <c r="J171">
        <v>336.55650000000003</v>
      </c>
      <c r="K171" s="9">
        <v>43537</v>
      </c>
      <c r="L171" t="s">
        <v>350</v>
      </c>
      <c r="M171" t="s">
        <v>42</v>
      </c>
      <c r="N171">
        <v>320.52999999999997</v>
      </c>
      <c r="O171">
        <v>4.7619047620000003</v>
      </c>
      <c r="P171">
        <v>16.026499999999999</v>
      </c>
      <c r="Q171">
        <v>7</v>
      </c>
      <c r="R171" t="s">
        <v>38</v>
      </c>
    </row>
    <row r="172" spans="1:18" x14ac:dyDescent="0.25">
      <c r="A172" t="s">
        <v>351</v>
      </c>
      <c r="B172" t="s">
        <v>32</v>
      </c>
      <c r="C172" t="s">
        <v>33</v>
      </c>
      <c r="D172" t="s">
        <v>34</v>
      </c>
      <c r="E172" t="s">
        <v>313</v>
      </c>
      <c r="F172" t="s">
        <v>46</v>
      </c>
      <c r="G172">
        <v>76.400000000000006</v>
      </c>
      <c r="H172">
        <v>2</v>
      </c>
      <c r="I172">
        <v>7.64</v>
      </c>
      <c r="J172">
        <v>160.44</v>
      </c>
      <c r="K172" s="9">
        <v>43495</v>
      </c>
      <c r="L172" t="s">
        <v>352</v>
      </c>
      <c r="M172" t="s">
        <v>29</v>
      </c>
      <c r="N172">
        <v>152.80000000000001</v>
      </c>
      <c r="O172">
        <v>4.7619047620000003</v>
      </c>
      <c r="P172">
        <v>7.64</v>
      </c>
      <c r="Q172">
        <v>6.5</v>
      </c>
      <c r="R172" t="s">
        <v>30</v>
      </c>
    </row>
    <row r="173" spans="1:18" x14ac:dyDescent="0.25">
      <c r="A173" t="s">
        <v>353</v>
      </c>
      <c r="B173" t="s">
        <v>58</v>
      </c>
      <c r="C173" t="s">
        <v>59</v>
      </c>
      <c r="D173" t="s">
        <v>34</v>
      </c>
      <c r="E173" t="s">
        <v>313</v>
      </c>
      <c r="F173" t="s">
        <v>60</v>
      </c>
      <c r="G173">
        <v>39.9</v>
      </c>
      <c r="H173">
        <v>10</v>
      </c>
      <c r="I173">
        <v>19.95</v>
      </c>
      <c r="J173">
        <v>418.95</v>
      </c>
      <c r="K173" s="9">
        <v>43516</v>
      </c>
      <c r="L173" t="s">
        <v>354</v>
      </c>
      <c r="M173" t="s">
        <v>42</v>
      </c>
      <c r="N173">
        <v>399</v>
      </c>
      <c r="O173">
        <v>4.7619047620000003</v>
      </c>
      <c r="P173">
        <v>19.95</v>
      </c>
      <c r="Q173">
        <v>5.9</v>
      </c>
      <c r="R173" t="s">
        <v>48</v>
      </c>
    </row>
    <row r="174" spans="1:18" x14ac:dyDescent="0.25">
      <c r="A174" t="s">
        <v>355</v>
      </c>
      <c r="B174" t="s">
        <v>58</v>
      </c>
      <c r="C174" t="s">
        <v>59</v>
      </c>
      <c r="D174" t="s">
        <v>25</v>
      </c>
      <c r="E174" t="s">
        <v>313</v>
      </c>
      <c r="F174" t="s">
        <v>27</v>
      </c>
      <c r="G174">
        <v>42.57</v>
      </c>
      <c r="H174">
        <v>8</v>
      </c>
      <c r="I174">
        <v>17.027999999999999</v>
      </c>
      <c r="J174">
        <v>357.58800000000002</v>
      </c>
      <c r="K174" s="9">
        <v>43521</v>
      </c>
      <c r="L174" t="s">
        <v>356</v>
      </c>
      <c r="M174" t="s">
        <v>29</v>
      </c>
      <c r="N174">
        <v>340.56</v>
      </c>
      <c r="O174">
        <v>4.7619047620000003</v>
      </c>
      <c r="P174">
        <v>17.027999999999999</v>
      </c>
      <c r="Q174">
        <v>5.6</v>
      </c>
      <c r="R174" t="s">
        <v>48</v>
      </c>
    </row>
    <row r="175" spans="1:18" x14ac:dyDescent="0.25">
      <c r="A175" t="s">
        <v>357</v>
      </c>
      <c r="B175" t="s">
        <v>32</v>
      </c>
      <c r="C175" t="s">
        <v>33</v>
      </c>
      <c r="D175" t="s">
        <v>34</v>
      </c>
      <c r="E175" t="s">
        <v>313</v>
      </c>
      <c r="F175" t="s">
        <v>40</v>
      </c>
      <c r="G175">
        <v>95.58</v>
      </c>
      <c r="H175">
        <v>10</v>
      </c>
      <c r="I175">
        <v>47.79</v>
      </c>
      <c r="J175">
        <v>1003.59</v>
      </c>
      <c r="K175" s="9">
        <v>43481</v>
      </c>
      <c r="L175" t="s">
        <v>358</v>
      </c>
      <c r="M175" t="s">
        <v>37</v>
      </c>
      <c r="N175">
        <v>955.8</v>
      </c>
      <c r="O175">
        <v>4.7619047620000003</v>
      </c>
      <c r="P175">
        <v>47.79</v>
      </c>
      <c r="Q175">
        <v>4.8</v>
      </c>
      <c r="R175" t="s">
        <v>30</v>
      </c>
    </row>
    <row r="176" spans="1:18" x14ac:dyDescent="0.25">
      <c r="A176" t="s">
        <v>359</v>
      </c>
      <c r="B176" t="s">
        <v>23</v>
      </c>
      <c r="C176" t="s">
        <v>24</v>
      </c>
      <c r="D176" t="s">
        <v>34</v>
      </c>
      <c r="E176" t="s">
        <v>313</v>
      </c>
      <c r="F176" t="s">
        <v>63</v>
      </c>
      <c r="G176">
        <v>98.98</v>
      </c>
      <c r="H176">
        <v>10</v>
      </c>
      <c r="I176">
        <v>49.49</v>
      </c>
      <c r="J176">
        <v>1039.29</v>
      </c>
      <c r="K176" s="9">
        <v>43504</v>
      </c>
      <c r="L176" t="s">
        <v>360</v>
      </c>
      <c r="M176" t="s">
        <v>42</v>
      </c>
      <c r="N176">
        <v>989.8</v>
      </c>
      <c r="O176">
        <v>4.7619047620000003</v>
      </c>
      <c r="P176">
        <v>49.49</v>
      </c>
      <c r="Q176">
        <v>8.6999999999999993</v>
      </c>
      <c r="R176" t="s">
        <v>48</v>
      </c>
    </row>
    <row r="177" spans="1:18" x14ac:dyDescent="0.25">
      <c r="A177" t="s">
        <v>361</v>
      </c>
      <c r="B177" t="s">
        <v>23</v>
      </c>
      <c r="C177" t="s">
        <v>24</v>
      </c>
      <c r="D177" t="s">
        <v>34</v>
      </c>
      <c r="E177" t="s">
        <v>313</v>
      </c>
      <c r="F177" t="s">
        <v>60</v>
      </c>
      <c r="G177">
        <v>51.28</v>
      </c>
      <c r="H177">
        <v>6</v>
      </c>
      <c r="I177">
        <v>15.384</v>
      </c>
      <c r="J177">
        <v>323.06400000000002</v>
      </c>
      <c r="K177" s="9">
        <v>43484</v>
      </c>
      <c r="L177" t="s">
        <v>362</v>
      </c>
      <c r="M177" t="s">
        <v>37</v>
      </c>
      <c r="N177">
        <v>307.68</v>
      </c>
      <c r="O177">
        <v>4.7619047620000003</v>
      </c>
      <c r="P177">
        <v>15.384</v>
      </c>
      <c r="Q177">
        <v>6.5</v>
      </c>
      <c r="R177" t="s">
        <v>30</v>
      </c>
    </row>
    <row r="178" spans="1:18" x14ac:dyDescent="0.25">
      <c r="A178" t="s">
        <v>363</v>
      </c>
      <c r="B178" t="s">
        <v>23</v>
      </c>
      <c r="C178" t="s">
        <v>24</v>
      </c>
      <c r="D178" t="s">
        <v>25</v>
      </c>
      <c r="E178" t="s">
        <v>313</v>
      </c>
      <c r="F178" t="s">
        <v>46</v>
      </c>
      <c r="G178">
        <v>69.52</v>
      </c>
      <c r="H178">
        <v>7</v>
      </c>
      <c r="I178">
        <v>24.332000000000001</v>
      </c>
      <c r="J178">
        <v>510.97199999999998</v>
      </c>
      <c r="K178" s="9">
        <v>43497</v>
      </c>
      <c r="L178" t="s">
        <v>145</v>
      </c>
      <c r="M178" t="s">
        <v>42</v>
      </c>
      <c r="N178">
        <v>486.64</v>
      </c>
      <c r="O178">
        <v>4.7619047620000003</v>
      </c>
      <c r="P178">
        <v>24.332000000000001</v>
      </c>
      <c r="Q178">
        <v>8.5</v>
      </c>
      <c r="R178" t="s">
        <v>48</v>
      </c>
    </row>
    <row r="179" spans="1:18" x14ac:dyDescent="0.25">
      <c r="A179" t="s">
        <v>364</v>
      </c>
      <c r="B179" t="s">
        <v>23</v>
      </c>
      <c r="C179" t="s">
        <v>24</v>
      </c>
      <c r="D179" t="s">
        <v>34</v>
      </c>
      <c r="E179" t="s">
        <v>313</v>
      </c>
      <c r="F179" t="s">
        <v>27</v>
      </c>
      <c r="G179">
        <v>70.010000000000005</v>
      </c>
      <c r="H179">
        <v>5</v>
      </c>
      <c r="I179">
        <v>17.502500000000001</v>
      </c>
      <c r="J179">
        <v>367.55250000000001</v>
      </c>
      <c r="K179" s="9">
        <v>43468</v>
      </c>
      <c r="L179" t="s">
        <v>365</v>
      </c>
      <c r="M179" t="s">
        <v>29</v>
      </c>
      <c r="N179">
        <v>350.05</v>
      </c>
      <c r="O179">
        <v>4.7619047620000003</v>
      </c>
      <c r="P179">
        <v>17.502500000000001</v>
      </c>
      <c r="Q179">
        <v>5.5</v>
      </c>
      <c r="R179" t="s">
        <v>30</v>
      </c>
    </row>
    <row r="180" spans="1:18" x14ac:dyDescent="0.25">
      <c r="A180" t="s">
        <v>366</v>
      </c>
      <c r="B180" t="s">
        <v>58</v>
      </c>
      <c r="C180" t="s">
        <v>59</v>
      </c>
      <c r="D180" t="s">
        <v>25</v>
      </c>
      <c r="E180" t="s">
        <v>313</v>
      </c>
      <c r="F180" t="s">
        <v>60</v>
      </c>
      <c r="G180">
        <v>80.05</v>
      </c>
      <c r="H180">
        <v>5</v>
      </c>
      <c r="I180">
        <v>20.012499999999999</v>
      </c>
      <c r="J180">
        <v>420.26249999999999</v>
      </c>
      <c r="K180" s="9">
        <v>43491</v>
      </c>
      <c r="L180" t="s">
        <v>139</v>
      </c>
      <c r="M180" t="s">
        <v>42</v>
      </c>
      <c r="N180">
        <v>400.25</v>
      </c>
      <c r="O180">
        <v>4.7619047620000003</v>
      </c>
      <c r="P180">
        <v>20.012499999999999</v>
      </c>
      <c r="Q180">
        <v>9.4</v>
      </c>
      <c r="R180" t="s">
        <v>30</v>
      </c>
    </row>
    <row r="181" spans="1:18" x14ac:dyDescent="0.25">
      <c r="A181" t="s">
        <v>367</v>
      </c>
      <c r="B181" t="s">
        <v>32</v>
      </c>
      <c r="C181" t="s">
        <v>33</v>
      </c>
      <c r="D181" t="s">
        <v>34</v>
      </c>
      <c r="E181" t="s">
        <v>313</v>
      </c>
      <c r="F181" t="s">
        <v>35</v>
      </c>
      <c r="G181">
        <v>20.85</v>
      </c>
      <c r="H181">
        <v>8</v>
      </c>
      <c r="I181">
        <v>8.34</v>
      </c>
      <c r="J181">
        <v>175.14</v>
      </c>
      <c r="K181" s="9">
        <v>43527</v>
      </c>
      <c r="L181" t="s">
        <v>368</v>
      </c>
      <c r="M181" t="s">
        <v>37</v>
      </c>
      <c r="N181">
        <v>166.8</v>
      </c>
      <c r="O181">
        <v>4.7619047620000003</v>
      </c>
      <c r="P181">
        <v>8.34</v>
      </c>
      <c r="Q181">
        <v>6.3</v>
      </c>
      <c r="R181" t="s">
        <v>38</v>
      </c>
    </row>
    <row r="182" spans="1:18" x14ac:dyDescent="0.25">
      <c r="A182" t="s">
        <v>369</v>
      </c>
      <c r="B182" t="s">
        <v>58</v>
      </c>
      <c r="C182" t="s">
        <v>59</v>
      </c>
      <c r="D182" t="s">
        <v>25</v>
      </c>
      <c r="E182" t="s">
        <v>313</v>
      </c>
      <c r="F182" t="s">
        <v>35</v>
      </c>
      <c r="G182">
        <v>52.89</v>
      </c>
      <c r="H182">
        <v>6</v>
      </c>
      <c r="I182">
        <v>15.867000000000001</v>
      </c>
      <c r="J182">
        <v>333.20699999999999</v>
      </c>
      <c r="K182" s="9">
        <v>43484</v>
      </c>
      <c r="L182" t="s">
        <v>370</v>
      </c>
      <c r="M182" t="s">
        <v>42</v>
      </c>
      <c r="N182">
        <v>317.33999999999997</v>
      </c>
      <c r="O182">
        <v>4.7619047620000003</v>
      </c>
      <c r="P182">
        <v>15.867000000000001</v>
      </c>
      <c r="Q182">
        <v>9.8000000000000007</v>
      </c>
      <c r="R182" t="s">
        <v>30</v>
      </c>
    </row>
    <row r="183" spans="1:18" x14ac:dyDescent="0.25">
      <c r="A183" t="s">
        <v>371</v>
      </c>
      <c r="B183" t="s">
        <v>58</v>
      </c>
      <c r="C183" t="s">
        <v>59</v>
      </c>
      <c r="D183" t="s">
        <v>34</v>
      </c>
      <c r="E183" t="s">
        <v>313</v>
      </c>
      <c r="F183" t="s">
        <v>60</v>
      </c>
      <c r="G183">
        <v>19.79</v>
      </c>
      <c r="H183">
        <v>8</v>
      </c>
      <c r="I183">
        <v>7.9160000000000004</v>
      </c>
      <c r="J183">
        <v>166.23599999999999</v>
      </c>
      <c r="K183" s="9">
        <v>43483</v>
      </c>
      <c r="L183" t="s">
        <v>372</v>
      </c>
      <c r="M183" t="s">
        <v>29</v>
      </c>
      <c r="N183">
        <v>158.32</v>
      </c>
      <c r="O183">
        <v>4.7619047620000003</v>
      </c>
      <c r="P183">
        <v>7.9160000000000004</v>
      </c>
      <c r="Q183">
        <v>8.6999999999999993</v>
      </c>
      <c r="R183" t="s">
        <v>30</v>
      </c>
    </row>
    <row r="184" spans="1:18" x14ac:dyDescent="0.25">
      <c r="A184" t="s">
        <v>373</v>
      </c>
      <c r="B184" t="s">
        <v>23</v>
      </c>
      <c r="C184" t="s">
        <v>24</v>
      </c>
      <c r="D184" t="s">
        <v>25</v>
      </c>
      <c r="E184" t="s">
        <v>313</v>
      </c>
      <c r="F184" t="s">
        <v>40</v>
      </c>
      <c r="G184">
        <v>33.840000000000003</v>
      </c>
      <c r="H184">
        <v>9</v>
      </c>
      <c r="I184">
        <v>15.228</v>
      </c>
      <c r="J184">
        <v>319.78800000000001</v>
      </c>
      <c r="K184" s="9">
        <v>43545</v>
      </c>
      <c r="L184" t="s">
        <v>348</v>
      </c>
      <c r="M184" t="s">
        <v>29</v>
      </c>
      <c r="N184">
        <v>304.56</v>
      </c>
      <c r="O184">
        <v>4.7619047620000003</v>
      </c>
      <c r="P184">
        <v>15.228</v>
      </c>
      <c r="Q184">
        <v>8.8000000000000007</v>
      </c>
      <c r="R184" t="s">
        <v>38</v>
      </c>
    </row>
    <row r="185" spans="1:18" x14ac:dyDescent="0.25">
      <c r="A185" t="s">
        <v>374</v>
      </c>
      <c r="B185" t="s">
        <v>23</v>
      </c>
      <c r="C185" t="s">
        <v>24</v>
      </c>
      <c r="D185" t="s">
        <v>25</v>
      </c>
      <c r="E185" t="s">
        <v>313</v>
      </c>
      <c r="F185" t="s">
        <v>60</v>
      </c>
      <c r="G185">
        <v>22.17</v>
      </c>
      <c r="H185">
        <v>8</v>
      </c>
      <c r="I185">
        <v>8.8680000000000003</v>
      </c>
      <c r="J185">
        <v>186.22800000000001</v>
      </c>
      <c r="K185" s="9">
        <v>43527</v>
      </c>
      <c r="L185" t="s">
        <v>375</v>
      </c>
      <c r="M185" t="s">
        <v>42</v>
      </c>
      <c r="N185">
        <v>177.36</v>
      </c>
      <c r="O185">
        <v>4.7619047620000003</v>
      </c>
      <c r="P185">
        <v>8.8680000000000003</v>
      </c>
      <c r="Q185">
        <v>9.6</v>
      </c>
      <c r="R185" t="s">
        <v>38</v>
      </c>
    </row>
    <row r="186" spans="1:18" x14ac:dyDescent="0.25">
      <c r="A186" t="s">
        <v>376</v>
      </c>
      <c r="B186" t="s">
        <v>32</v>
      </c>
      <c r="C186" t="s">
        <v>33</v>
      </c>
      <c r="D186" t="s">
        <v>34</v>
      </c>
      <c r="E186" t="s">
        <v>26</v>
      </c>
      <c r="F186" t="s">
        <v>63</v>
      </c>
      <c r="G186">
        <v>22.51</v>
      </c>
      <c r="H186">
        <v>7</v>
      </c>
      <c r="I186">
        <v>7.8784999999999998</v>
      </c>
      <c r="J186">
        <v>165.4485</v>
      </c>
      <c r="K186" s="9">
        <v>43509</v>
      </c>
      <c r="L186" t="s">
        <v>377</v>
      </c>
      <c r="M186" t="s">
        <v>42</v>
      </c>
      <c r="N186">
        <v>157.57</v>
      </c>
      <c r="O186">
        <v>4.7619047620000003</v>
      </c>
      <c r="P186">
        <v>7.8784999999999998</v>
      </c>
      <c r="Q186">
        <v>4.8</v>
      </c>
      <c r="R186" t="s">
        <v>48</v>
      </c>
    </row>
    <row r="187" spans="1:18" x14ac:dyDescent="0.25">
      <c r="A187" t="s">
        <v>378</v>
      </c>
      <c r="B187" t="s">
        <v>23</v>
      </c>
      <c r="C187" t="s">
        <v>24</v>
      </c>
      <c r="D187" t="s">
        <v>34</v>
      </c>
      <c r="E187" t="s">
        <v>313</v>
      </c>
      <c r="F187" t="s">
        <v>60</v>
      </c>
      <c r="G187">
        <v>73.88</v>
      </c>
      <c r="H187">
        <v>6</v>
      </c>
      <c r="I187">
        <v>22.164000000000001</v>
      </c>
      <c r="J187">
        <v>465.44400000000002</v>
      </c>
      <c r="K187" s="9">
        <v>43547</v>
      </c>
      <c r="L187" t="s">
        <v>379</v>
      </c>
      <c r="M187" t="s">
        <v>29</v>
      </c>
      <c r="N187">
        <v>443.28</v>
      </c>
      <c r="O187">
        <v>4.7619047620000003</v>
      </c>
      <c r="P187">
        <v>22.164000000000001</v>
      </c>
      <c r="Q187">
        <v>4.4000000000000004</v>
      </c>
      <c r="R187" t="s">
        <v>38</v>
      </c>
    </row>
    <row r="188" spans="1:18" x14ac:dyDescent="0.25">
      <c r="A188" t="s">
        <v>380</v>
      </c>
      <c r="B188" t="s">
        <v>32</v>
      </c>
      <c r="C188" t="s">
        <v>33</v>
      </c>
      <c r="D188" t="s">
        <v>25</v>
      </c>
      <c r="E188" t="s">
        <v>313</v>
      </c>
      <c r="F188" t="s">
        <v>27</v>
      </c>
      <c r="G188">
        <v>86.8</v>
      </c>
      <c r="H188">
        <v>3</v>
      </c>
      <c r="I188">
        <v>13.02</v>
      </c>
      <c r="J188">
        <v>273.42</v>
      </c>
      <c r="K188" s="9">
        <v>43493</v>
      </c>
      <c r="L188" t="s">
        <v>381</v>
      </c>
      <c r="M188" t="s">
        <v>29</v>
      </c>
      <c r="N188">
        <v>260.39999999999998</v>
      </c>
      <c r="O188">
        <v>4.7619047620000003</v>
      </c>
      <c r="P188">
        <v>13.02</v>
      </c>
      <c r="Q188">
        <v>9.9</v>
      </c>
      <c r="R188" t="s">
        <v>30</v>
      </c>
    </row>
    <row r="189" spans="1:18" x14ac:dyDescent="0.25">
      <c r="A189" t="s">
        <v>382</v>
      </c>
      <c r="B189" t="s">
        <v>32</v>
      </c>
      <c r="C189" t="s">
        <v>33</v>
      </c>
      <c r="D189" t="s">
        <v>34</v>
      </c>
      <c r="E189" t="s">
        <v>313</v>
      </c>
      <c r="F189" t="s">
        <v>63</v>
      </c>
      <c r="G189">
        <v>64.260000000000005</v>
      </c>
      <c r="H189">
        <v>7</v>
      </c>
      <c r="I189">
        <v>22.491</v>
      </c>
      <c r="J189">
        <v>472.31099999999998</v>
      </c>
      <c r="K189" s="9">
        <v>43505</v>
      </c>
      <c r="L189" t="s">
        <v>383</v>
      </c>
      <c r="M189" t="s">
        <v>37</v>
      </c>
      <c r="N189">
        <v>449.82</v>
      </c>
      <c r="O189">
        <v>4.7619047620000003</v>
      </c>
      <c r="P189">
        <v>22.491</v>
      </c>
      <c r="Q189">
        <v>5.7</v>
      </c>
      <c r="R189" t="s">
        <v>48</v>
      </c>
    </row>
    <row r="190" spans="1:18" x14ac:dyDescent="0.25">
      <c r="A190" t="s">
        <v>384</v>
      </c>
      <c r="B190" t="s">
        <v>32</v>
      </c>
      <c r="C190" t="s">
        <v>33</v>
      </c>
      <c r="D190" t="s">
        <v>25</v>
      </c>
      <c r="E190" t="s">
        <v>313</v>
      </c>
      <c r="F190" t="s">
        <v>60</v>
      </c>
      <c r="G190">
        <v>38.47</v>
      </c>
      <c r="H190">
        <v>8</v>
      </c>
      <c r="I190">
        <v>15.388</v>
      </c>
      <c r="J190">
        <v>323.14800000000002</v>
      </c>
      <c r="K190" s="9">
        <v>43488</v>
      </c>
      <c r="L190" t="s">
        <v>385</v>
      </c>
      <c r="M190" t="s">
        <v>37</v>
      </c>
      <c r="N190">
        <v>307.76</v>
      </c>
      <c r="O190">
        <v>4.7619047620000003</v>
      </c>
      <c r="P190">
        <v>15.388</v>
      </c>
      <c r="Q190">
        <v>7.7</v>
      </c>
      <c r="R190" t="s">
        <v>30</v>
      </c>
    </row>
    <row r="191" spans="1:18" x14ac:dyDescent="0.25">
      <c r="A191" t="s">
        <v>386</v>
      </c>
      <c r="B191" t="s">
        <v>23</v>
      </c>
      <c r="C191" t="s">
        <v>24</v>
      </c>
      <c r="D191" t="s">
        <v>25</v>
      </c>
      <c r="E191" t="s">
        <v>313</v>
      </c>
      <c r="F191" t="s">
        <v>46</v>
      </c>
      <c r="G191">
        <v>15.5</v>
      </c>
      <c r="H191">
        <v>10</v>
      </c>
      <c r="I191">
        <v>7.75</v>
      </c>
      <c r="J191">
        <v>162.75</v>
      </c>
      <c r="K191" s="9">
        <v>43547</v>
      </c>
      <c r="L191" t="s">
        <v>165</v>
      </c>
      <c r="M191" t="s">
        <v>29</v>
      </c>
      <c r="N191">
        <v>155</v>
      </c>
      <c r="O191">
        <v>4.7619047620000003</v>
      </c>
      <c r="P191">
        <v>7.75</v>
      </c>
      <c r="Q191">
        <v>8</v>
      </c>
      <c r="R191" t="s">
        <v>38</v>
      </c>
    </row>
    <row r="192" spans="1:18" x14ac:dyDescent="0.25">
      <c r="A192" t="s">
        <v>387</v>
      </c>
      <c r="B192" t="s">
        <v>32</v>
      </c>
      <c r="C192" t="s">
        <v>33</v>
      </c>
      <c r="D192" t="s">
        <v>34</v>
      </c>
      <c r="E192" t="s">
        <v>313</v>
      </c>
      <c r="F192" t="s">
        <v>27</v>
      </c>
      <c r="G192">
        <v>34.31</v>
      </c>
      <c r="H192">
        <v>8</v>
      </c>
      <c r="I192">
        <v>13.724</v>
      </c>
      <c r="J192">
        <v>288.20400000000001</v>
      </c>
      <c r="K192" s="9">
        <v>43490</v>
      </c>
      <c r="L192" t="s">
        <v>388</v>
      </c>
      <c r="M192" t="s">
        <v>29</v>
      </c>
      <c r="N192">
        <v>274.48</v>
      </c>
      <c r="O192">
        <v>4.7619047620000003</v>
      </c>
      <c r="P192">
        <v>13.724</v>
      </c>
      <c r="Q192">
        <v>5.7</v>
      </c>
      <c r="R192" t="s">
        <v>30</v>
      </c>
    </row>
    <row r="193" spans="1:18" x14ac:dyDescent="0.25">
      <c r="A193" t="s">
        <v>389</v>
      </c>
      <c r="B193" t="s">
        <v>23</v>
      </c>
      <c r="C193" t="s">
        <v>24</v>
      </c>
      <c r="D193" t="s">
        <v>34</v>
      </c>
      <c r="E193" t="s">
        <v>26</v>
      </c>
      <c r="F193" t="s">
        <v>46</v>
      </c>
      <c r="G193">
        <v>12.34</v>
      </c>
      <c r="H193">
        <v>7</v>
      </c>
      <c r="I193">
        <v>4.319</v>
      </c>
      <c r="J193">
        <v>90.698999999999998</v>
      </c>
      <c r="K193" s="9">
        <v>43528</v>
      </c>
      <c r="L193" t="s">
        <v>390</v>
      </c>
      <c r="M193" t="s">
        <v>42</v>
      </c>
      <c r="N193">
        <v>86.38</v>
      </c>
      <c r="O193">
        <v>4.7619047620000003</v>
      </c>
      <c r="P193">
        <v>4.319</v>
      </c>
      <c r="Q193">
        <v>6.7</v>
      </c>
      <c r="R193" t="s">
        <v>38</v>
      </c>
    </row>
    <row r="194" spans="1:18" x14ac:dyDescent="0.25">
      <c r="A194" t="s">
        <v>391</v>
      </c>
      <c r="B194" t="s">
        <v>58</v>
      </c>
      <c r="C194" t="s">
        <v>59</v>
      </c>
      <c r="D194" t="s">
        <v>25</v>
      </c>
      <c r="E194" t="s">
        <v>313</v>
      </c>
      <c r="F194" t="s">
        <v>60</v>
      </c>
      <c r="G194">
        <v>18.079999999999998</v>
      </c>
      <c r="H194">
        <v>3</v>
      </c>
      <c r="I194">
        <v>2.7120000000000002</v>
      </c>
      <c r="J194">
        <v>56.951999999999998</v>
      </c>
      <c r="K194" s="9">
        <v>43529</v>
      </c>
      <c r="L194" t="s">
        <v>392</v>
      </c>
      <c r="M194" t="s">
        <v>29</v>
      </c>
      <c r="N194">
        <v>54.24</v>
      </c>
      <c r="O194">
        <v>4.7619047620000003</v>
      </c>
      <c r="P194">
        <v>2.7120000000000002</v>
      </c>
      <c r="Q194">
        <v>8</v>
      </c>
      <c r="R194" t="s">
        <v>38</v>
      </c>
    </row>
    <row r="195" spans="1:18" x14ac:dyDescent="0.25">
      <c r="A195" t="s">
        <v>393</v>
      </c>
      <c r="B195" t="s">
        <v>58</v>
      </c>
      <c r="C195" t="s">
        <v>59</v>
      </c>
      <c r="D195" t="s">
        <v>25</v>
      </c>
      <c r="E195" t="s">
        <v>26</v>
      </c>
      <c r="F195" t="s">
        <v>40</v>
      </c>
      <c r="G195">
        <v>94.49</v>
      </c>
      <c r="H195">
        <v>8</v>
      </c>
      <c r="I195">
        <v>37.795999999999999</v>
      </c>
      <c r="J195">
        <v>793.71600000000001</v>
      </c>
      <c r="K195" s="9">
        <v>43527</v>
      </c>
      <c r="L195" t="s">
        <v>394</v>
      </c>
      <c r="M195" t="s">
        <v>29</v>
      </c>
      <c r="N195">
        <v>755.92</v>
      </c>
      <c r="O195">
        <v>4.7619047620000003</v>
      </c>
      <c r="P195">
        <v>37.795999999999999</v>
      </c>
      <c r="Q195">
        <v>7.5</v>
      </c>
      <c r="R195" t="s">
        <v>38</v>
      </c>
    </row>
    <row r="196" spans="1:18" x14ac:dyDescent="0.25">
      <c r="A196" t="s">
        <v>395</v>
      </c>
      <c r="B196" t="s">
        <v>58</v>
      </c>
      <c r="C196" t="s">
        <v>59</v>
      </c>
      <c r="D196" t="s">
        <v>25</v>
      </c>
      <c r="E196" t="s">
        <v>313</v>
      </c>
      <c r="F196" t="s">
        <v>40</v>
      </c>
      <c r="G196">
        <v>46.47</v>
      </c>
      <c r="H196">
        <v>4</v>
      </c>
      <c r="I196">
        <v>9.2940000000000005</v>
      </c>
      <c r="J196">
        <v>195.17400000000001</v>
      </c>
      <c r="K196" s="9">
        <v>43504</v>
      </c>
      <c r="L196" t="s">
        <v>396</v>
      </c>
      <c r="M196" t="s">
        <v>37</v>
      </c>
      <c r="N196">
        <v>185.88</v>
      </c>
      <c r="O196">
        <v>4.7619047620000003</v>
      </c>
      <c r="P196">
        <v>9.2940000000000005</v>
      </c>
      <c r="Q196">
        <v>7</v>
      </c>
      <c r="R196" t="s">
        <v>48</v>
      </c>
    </row>
    <row r="197" spans="1:18" x14ac:dyDescent="0.25">
      <c r="A197" t="s">
        <v>397</v>
      </c>
      <c r="B197" t="s">
        <v>23</v>
      </c>
      <c r="C197" t="s">
        <v>24</v>
      </c>
      <c r="D197" t="s">
        <v>34</v>
      </c>
      <c r="E197" t="s">
        <v>313</v>
      </c>
      <c r="F197" t="s">
        <v>40</v>
      </c>
      <c r="G197">
        <v>74.069999999999993</v>
      </c>
      <c r="H197">
        <v>1</v>
      </c>
      <c r="I197">
        <v>3.7035</v>
      </c>
      <c r="J197">
        <v>77.773499999999999</v>
      </c>
      <c r="K197" s="9">
        <v>43506</v>
      </c>
      <c r="L197" t="s">
        <v>398</v>
      </c>
      <c r="M197" t="s">
        <v>29</v>
      </c>
      <c r="N197">
        <v>74.069999999999993</v>
      </c>
      <c r="O197">
        <v>4.7619047620000003</v>
      </c>
      <c r="P197">
        <v>3.7035</v>
      </c>
      <c r="Q197">
        <v>9.9</v>
      </c>
      <c r="R197" t="s">
        <v>48</v>
      </c>
    </row>
    <row r="198" spans="1:18" x14ac:dyDescent="0.25">
      <c r="A198" t="s">
        <v>399</v>
      </c>
      <c r="B198" t="s">
        <v>32</v>
      </c>
      <c r="C198" t="s">
        <v>33</v>
      </c>
      <c r="D198" t="s">
        <v>34</v>
      </c>
      <c r="E198" t="s">
        <v>26</v>
      </c>
      <c r="F198" t="s">
        <v>40</v>
      </c>
      <c r="G198">
        <v>69.81</v>
      </c>
      <c r="H198">
        <v>4</v>
      </c>
      <c r="I198">
        <v>13.962</v>
      </c>
      <c r="J198">
        <v>293.202</v>
      </c>
      <c r="K198" s="9">
        <v>43493</v>
      </c>
      <c r="L198" t="s">
        <v>400</v>
      </c>
      <c r="M198" t="s">
        <v>42</v>
      </c>
      <c r="N198">
        <v>279.24</v>
      </c>
      <c r="O198">
        <v>4.7619047620000003</v>
      </c>
      <c r="P198">
        <v>13.962</v>
      </c>
      <c r="Q198">
        <v>5.9</v>
      </c>
      <c r="R198" t="s">
        <v>30</v>
      </c>
    </row>
    <row r="199" spans="1:18" x14ac:dyDescent="0.25">
      <c r="A199" t="s">
        <v>401</v>
      </c>
      <c r="B199" t="s">
        <v>58</v>
      </c>
      <c r="C199" t="s">
        <v>59</v>
      </c>
      <c r="D199" t="s">
        <v>34</v>
      </c>
      <c r="E199" t="s">
        <v>26</v>
      </c>
      <c r="F199" t="s">
        <v>40</v>
      </c>
      <c r="G199">
        <v>77.040000000000006</v>
      </c>
      <c r="H199">
        <v>3</v>
      </c>
      <c r="I199">
        <v>11.555999999999999</v>
      </c>
      <c r="J199">
        <v>242.67599999999999</v>
      </c>
      <c r="K199" s="9">
        <v>43507</v>
      </c>
      <c r="L199" t="s">
        <v>78</v>
      </c>
      <c r="M199" t="s">
        <v>42</v>
      </c>
      <c r="N199">
        <v>231.12</v>
      </c>
      <c r="O199">
        <v>4.7619047620000003</v>
      </c>
      <c r="P199">
        <v>11.555999999999999</v>
      </c>
      <c r="Q199">
        <v>7.2</v>
      </c>
      <c r="R199" t="s">
        <v>48</v>
      </c>
    </row>
    <row r="200" spans="1:18" x14ac:dyDescent="0.25">
      <c r="A200" t="s">
        <v>402</v>
      </c>
      <c r="B200" t="s">
        <v>58</v>
      </c>
      <c r="C200" t="s">
        <v>59</v>
      </c>
      <c r="D200" t="s">
        <v>34</v>
      </c>
      <c r="E200" t="s">
        <v>26</v>
      </c>
      <c r="F200" t="s">
        <v>63</v>
      </c>
      <c r="G200">
        <v>73.52</v>
      </c>
      <c r="H200">
        <v>2</v>
      </c>
      <c r="I200">
        <v>7.3520000000000003</v>
      </c>
      <c r="J200">
        <v>154.392</v>
      </c>
      <c r="K200" s="9">
        <v>43480</v>
      </c>
      <c r="L200" t="s">
        <v>403</v>
      </c>
      <c r="M200" t="s">
        <v>29</v>
      </c>
      <c r="N200">
        <v>147.04</v>
      </c>
      <c r="O200">
        <v>4.7619047620000003</v>
      </c>
      <c r="P200">
        <v>7.3520000000000003</v>
      </c>
      <c r="Q200">
        <v>4.5999999999999996</v>
      </c>
      <c r="R200" t="s">
        <v>30</v>
      </c>
    </row>
    <row r="201" spans="1:18" x14ac:dyDescent="0.25">
      <c r="A201" t="s">
        <v>404</v>
      </c>
      <c r="B201" t="s">
        <v>32</v>
      </c>
      <c r="C201" t="s">
        <v>33</v>
      </c>
      <c r="D201" t="s">
        <v>34</v>
      </c>
      <c r="E201" t="s">
        <v>26</v>
      </c>
      <c r="F201" t="s">
        <v>60</v>
      </c>
      <c r="G201">
        <v>87.8</v>
      </c>
      <c r="H201">
        <v>9</v>
      </c>
      <c r="I201">
        <v>39.51</v>
      </c>
      <c r="J201">
        <v>829.71</v>
      </c>
      <c r="K201" s="9">
        <v>43540</v>
      </c>
      <c r="L201" t="s">
        <v>405</v>
      </c>
      <c r="M201" t="s">
        <v>37</v>
      </c>
      <c r="N201">
        <v>790.2</v>
      </c>
      <c r="O201">
        <v>4.7619047620000003</v>
      </c>
      <c r="P201">
        <v>39.51</v>
      </c>
      <c r="Q201">
        <v>9.1999999999999993</v>
      </c>
      <c r="R201" t="s">
        <v>38</v>
      </c>
    </row>
    <row r="202" spans="1:18" x14ac:dyDescent="0.25">
      <c r="A202" t="s">
        <v>406</v>
      </c>
      <c r="B202" t="s">
        <v>58</v>
      </c>
      <c r="C202" t="s">
        <v>59</v>
      </c>
      <c r="D202" t="s">
        <v>34</v>
      </c>
      <c r="E202" t="s">
        <v>313</v>
      </c>
      <c r="F202" t="s">
        <v>40</v>
      </c>
      <c r="G202">
        <v>25.55</v>
      </c>
      <c r="H202">
        <v>4</v>
      </c>
      <c r="I202">
        <v>5.1100000000000003</v>
      </c>
      <c r="J202">
        <v>107.31</v>
      </c>
      <c r="K202" s="9">
        <v>43491</v>
      </c>
      <c r="L202" t="s">
        <v>407</v>
      </c>
      <c r="M202" t="s">
        <v>29</v>
      </c>
      <c r="N202">
        <v>102.2</v>
      </c>
      <c r="O202">
        <v>4.7619047620000003</v>
      </c>
      <c r="P202">
        <v>5.1100000000000003</v>
      </c>
      <c r="Q202">
        <v>5.7</v>
      </c>
      <c r="R202" t="s">
        <v>30</v>
      </c>
    </row>
    <row r="203" spans="1:18" x14ac:dyDescent="0.25">
      <c r="A203" t="s">
        <v>408</v>
      </c>
      <c r="B203" t="s">
        <v>23</v>
      </c>
      <c r="C203" t="s">
        <v>24</v>
      </c>
      <c r="D203" t="s">
        <v>34</v>
      </c>
      <c r="E203" t="s">
        <v>313</v>
      </c>
      <c r="F203" t="s">
        <v>35</v>
      </c>
      <c r="G203">
        <v>32.71</v>
      </c>
      <c r="H203">
        <v>5</v>
      </c>
      <c r="I203">
        <v>8.1775000000000002</v>
      </c>
      <c r="J203">
        <v>171.72749999999999</v>
      </c>
      <c r="K203" s="9">
        <v>43543</v>
      </c>
      <c r="L203" t="s">
        <v>409</v>
      </c>
      <c r="M203" t="s">
        <v>42</v>
      </c>
      <c r="N203">
        <v>163.55000000000001</v>
      </c>
      <c r="O203">
        <v>4.7619047620000003</v>
      </c>
      <c r="P203">
        <v>8.1775000000000002</v>
      </c>
      <c r="Q203">
        <v>9.9</v>
      </c>
      <c r="R203" t="s">
        <v>38</v>
      </c>
    </row>
    <row r="204" spans="1:18" x14ac:dyDescent="0.25">
      <c r="A204" t="s">
        <v>410</v>
      </c>
      <c r="B204" t="s">
        <v>32</v>
      </c>
      <c r="C204" t="s">
        <v>33</v>
      </c>
      <c r="D204" t="s">
        <v>25</v>
      </c>
      <c r="E204" t="s">
        <v>26</v>
      </c>
      <c r="F204" t="s">
        <v>63</v>
      </c>
      <c r="G204">
        <v>74.290000000000006</v>
      </c>
      <c r="H204">
        <v>1</v>
      </c>
      <c r="I204">
        <v>3.7145000000000001</v>
      </c>
      <c r="J204">
        <v>78.004499999999993</v>
      </c>
      <c r="K204" s="9">
        <v>43478</v>
      </c>
      <c r="L204" t="s">
        <v>411</v>
      </c>
      <c r="M204" t="s">
        <v>37</v>
      </c>
      <c r="N204">
        <v>74.290000000000006</v>
      </c>
      <c r="O204">
        <v>4.7619047620000003</v>
      </c>
      <c r="P204">
        <v>3.7145000000000001</v>
      </c>
      <c r="Q204">
        <v>5</v>
      </c>
      <c r="R204" t="s">
        <v>30</v>
      </c>
    </row>
    <row r="205" spans="1:18" x14ac:dyDescent="0.25">
      <c r="A205" t="s">
        <v>412</v>
      </c>
      <c r="B205" t="s">
        <v>32</v>
      </c>
      <c r="C205" t="s">
        <v>33</v>
      </c>
      <c r="D205" t="s">
        <v>25</v>
      </c>
      <c r="E205" t="s">
        <v>313</v>
      </c>
      <c r="F205" t="s">
        <v>27</v>
      </c>
      <c r="G205">
        <v>43.7</v>
      </c>
      <c r="H205">
        <v>2</v>
      </c>
      <c r="I205">
        <v>4.37</v>
      </c>
      <c r="J205">
        <v>91.77</v>
      </c>
      <c r="K205" s="9">
        <v>43550</v>
      </c>
      <c r="L205" t="s">
        <v>413</v>
      </c>
      <c r="M205" t="s">
        <v>37</v>
      </c>
      <c r="N205">
        <v>87.4</v>
      </c>
      <c r="O205">
        <v>4.7619047620000003</v>
      </c>
      <c r="P205">
        <v>4.37</v>
      </c>
      <c r="Q205">
        <v>4.9000000000000004</v>
      </c>
      <c r="R205" t="s">
        <v>38</v>
      </c>
    </row>
    <row r="206" spans="1:18" x14ac:dyDescent="0.25">
      <c r="A206" t="s">
        <v>414</v>
      </c>
      <c r="B206" t="s">
        <v>23</v>
      </c>
      <c r="C206" t="s">
        <v>24</v>
      </c>
      <c r="D206" t="s">
        <v>34</v>
      </c>
      <c r="E206" t="s">
        <v>26</v>
      </c>
      <c r="F206" t="s">
        <v>40</v>
      </c>
      <c r="G206">
        <v>25.29</v>
      </c>
      <c r="H206">
        <v>1</v>
      </c>
      <c r="I206">
        <v>1.2645</v>
      </c>
      <c r="J206">
        <v>26.554500000000001</v>
      </c>
      <c r="K206" s="9">
        <v>43547</v>
      </c>
      <c r="L206" t="s">
        <v>415</v>
      </c>
      <c r="M206" t="s">
        <v>29</v>
      </c>
      <c r="N206">
        <v>25.29</v>
      </c>
      <c r="O206">
        <v>4.7619047620000003</v>
      </c>
      <c r="P206">
        <v>1.2645</v>
      </c>
      <c r="Q206">
        <v>6.1</v>
      </c>
      <c r="R206" t="s">
        <v>38</v>
      </c>
    </row>
    <row r="207" spans="1:18" x14ac:dyDescent="0.25">
      <c r="A207" t="s">
        <v>416</v>
      </c>
      <c r="B207" t="s">
        <v>32</v>
      </c>
      <c r="C207" t="s">
        <v>33</v>
      </c>
      <c r="D207" t="s">
        <v>34</v>
      </c>
      <c r="E207" t="s">
        <v>313</v>
      </c>
      <c r="F207" t="s">
        <v>27</v>
      </c>
      <c r="G207">
        <v>41.5</v>
      </c>
      <c r="H207">
        <v>4</v>
      </c>
      <c r="I207">
        <v>8.3000000000000007</v>
      </c>
      <c r="J207">
        <v>174.3</v>
      </c>
      <c r="K207" s="9">
        <v>43536</v>
      </c>
      <c r="L207" t="s">
        <v>417</v>
      </c>
      <c r="M207" t="s">
        <v>42</v>
      </c>
      <c r="N207">
        <v>166</v>
      </c>
      <c r="O207">
        <v>4.7619047620000003</v>
      </c>
      <c r="P207">
        <v>8.3000000000000007</v>
      </c>
      <c r="Q207">
        <v>8.1999999999999993</v>
      </c>
      <c r="R207" t="s">
        <v>38</v>
      </c>
    </row>
    <row r="208" spans="1:18" x14ac:dyDescent="0.25">
      <c r="A208" t="s">
        <v>418</v>
      </c>
      <c r="B208" t="s">
        <v>32</v>
      </c>
      <c r="C208" t="s">
        <v>33</v>
      </c>
      <c r="D208" t="s">
        <v>25</v>
      </c>
      <c r="E208" t="s">
        <v>26</v>
      </c>
      <c r="F208" t="s">
        <v>60</v>
      </c>
      <c r="G208">
        <v>71.39</v>
      </c>
      <c r="H208">
        <v>5</v>
      </c>
      <c r="I208">
        <v>17.8475</v>
      </c>
      <c r="J208">
        <v>374.79750000000001</v>
      </c>
      <c r="K208" s="9">
        <v>43513</v>
      </c>
      <c r="L208" t="s">
        <v>316</v>
      </c>
      <c r="M208" t="s">
        <v>42</v>
      </c>
      <c r="N208">
        <v>356.95</v>
      </c>
      <c r="O208">
        <v>4.7619047620000003</v>
      </c>
      <c r="P208">
        <v>17.8475</v>
      </c>
      <c r="Q208">
        <v>5.5</v>
      </c>
      <c r="R208" t="s">
        <v>48</v>
      </c>
    </row>
    <row r="209" spans="1:18" x14ac:dyDescent="0.25">
      <c r="A209" t="s">
        <v>419</v>
      </c>
      <c r="B209" t="s">
        <v>32</v>
      </c>
      <c r="C209" t="s">
        <v>33</v>
      </c>
      <c r="D209" t="s">
        <v>25</v>
      </c>
      <c r="E209" t="s">
        <v>26</v>
      </c>
      <c r="F209" t="s">
        <v>46</v>
      </c>
      <c r="G209">
        <v>19.149999999999999</v>
      </c>
      <c r="H209">
        <v>6</v>
      </c>
      <c r="I209">
        <v>5.7450000000000001</v>
      </c>
      <c r="J209">
        <v>120.645</v>
      </c>
      <c r="K209" s="9">
        <v>43494</v>
      </c>
      <c r="L209" t="s">
        <v>420</v>
      </c>
      <c r="M209" t="s">
        <v>42</v>
      </c>
      <c r="N209">
        <v>114.9</v>
      </c>
      <c r="O209">
        <v>4.7619047620000003</v>
      </c>
      <c r="P209">
        <v>5.7450000000000001</v>
      </c>
      <c r="Q209">
        <v>6.8</v>
      </c>
      <c r="R209" t="s">
        <v>30</v>
      </c>
    </row>
    <row r="210" spans="1:18" x14ac:dyDescent="0.25">
      <c r="A210" t="s">
        <v>421</v>
      </c>
      <c r="B210" t="s">
        <v>58</v>
      </c>
      <c r="C210" t="s">
        <v>59</v>
      </c>
      <c r="D210" t="s">
        <v>25</v>
      </c>
      <c r="E210" t="s">
        <v>26</v>
      </c>
      <c r="F210" t="s">
        <v>35</v>
      </c>
      <c r="G210">
        <v>57.49</v>
      </c>
      <c r="H210">
        <v>4</v>
      </c>
      <c r="I210">
        <v>11.497999999999999</v>
      </c>
      <c r="J210">
        <v>241.458</v>
      </c>
      <c r="K210" s="9">
        <v>43539</v>
      </c>
      <c r="L210" t="s">
        <v>422</v>
      </c>
      <c r="M210" t="s">
        <v>37</v>
      </c>
      <c r="N210">
        <v>229.96</v>
      </c>
      <c r="O210">
        <v>4.7619047620000003</v>
      </c>
      <c r="P210">
        <v>11.497999999999999</v>
      </c>
      <c r="Q210">
        <v>6.6</v>
      </c>
      <c r="R210" t="s">
        <v>38</v>
      </c>
    </row>
    <row r="211" spans="1:18" x14ac:dyDescent="0.25">
      <c r="A211" t="s">
        <v>423</v>
      </c>
      <c r="B211" t="s">
        <v>32</v>
      </c>
      <c r="C211" t="s">
        <v>33</v>
      </c>
      <c r="D211" t="s">
        <v>34</v>
      </c>
      <c r="E211" t="s">
        <v>313</v>
      </c>
      <c r="F211" t="s">
        <v>35</v>
      </c>
      <c r="G211">
        <v>61.41</v>
      </c>
      <c r="H211">
        <v>7</v>
      </c>
      <c r="I211">
        <v>21.493500000000001</v>
      </c>
      <c r="J211">
        <v>451.36349999999999</v>
      </c>
      <c r="K211" s="9">
        <v>43479</v>
      </c>
      <c r="L211" t="s">
        <v>424</v>
      </c>
      <c r="M211" t="s">
        <v>37</v>
      </c>
      <c r="N211">
        <v>429.87</v>
      </c>
      <c r="O211">
        <v>4.7619047620000003</v>
      </c>
      <c r="P211">
        <v>21.493500000000001</v>
      </c>
      <c r="Q211">
        <v>9.8000000000000007</v>
      </c>
      <c r="R211" t="s">
        <v>30</v>
      </c>
    </row>
    <row r="212" spans="1:18" x14ac:dyDescent="0.25">
      <c r="A212" t="s">
        <v>425</v>
      </c>
      <c r="B212" t="s">
        <v>58</v>
      </c>
      <c r="C212" t="s">
        <v>59</v>
      </c>
      <c r="D212" t="s">
        <v>25</v>
      </c>
      <c r="E212" t="s">
        <v>313</v>
      </c>
      <c r="F212" t="s">
        <v>27</v>
      </c>
      <c r="G212">
        <v>25.9</v>
      </c>
      <c r="H212">
        <v>10</v>
      </c>
      <c r="I212">
        <v>12.95</v>
      </c>
      <c r="J212">
        <v>271.95</v>
      </c>
      <c r="K212" s="9">
        <v>43502</v>
      </c>
      <c r="L212" t="s">
        <v>426</v>
      </c>
      <c r="M212" t="s">
        <v>29</v>
      </c>
      <c r="N212">
        <v>259</v>
      </c>
      <c r="O212">
        <v>4.7619047620000003</v>
      </c>
      <c r="P212">
        <v>12.95</v>
      </c>
      <c r="Q212">
        <v>8.6999999999999993</v>
      </c>
      <c r="R212" t="s">
        <v>48</v>
      </c>
    </row>
    <row r="213" spans="1:18" x14ac:dyDescent="0.25">
      <c r="A213" t="s">
        <v>427</v>
      </c>
      <c r="B213" t="s">
        <v>58</v>
      </c>
      <c r="C213" t="s">
        <v>59</v>
      </c>
      <c r="D213" t="s">
        <v>25</v>
      </c>
      <c r="E213" t="s">
        <v>313</v>
      </c>
      <c r="F213" t="s">
        <v>40</v>
      </c>
      <c r="G213">
        <v>17.77</v>
      </c>
      <c r="H213">
        <v>5</v>
      </c>
      <c r="I213">
        <v>4.4424999999999999</v>
      </c>
      <c r="J213">
        <v>93.292500000000004</v>
      </c>
      <c r="K213" s="9">
        <v>43511</v>
      </c>
      <c r="L213" t="s">
        <v>428</v>
      </c>
      <c r="M213" t="s">
        <v>42</v>
      </c>
      <c r="N213">
        <v>88.85</v>
      </c>
      <c r="O213">
        <v>4.7619047620000003</v>
      </c>
      <c r="P213">
        <v>4.4424999999999999</v>
      </c>
      <c r="Q213">
        <v>5.4</v>
      </c>
      <c r="R213" t="s">
        <v>48</v>
      </c>
    </row>
    <row r="214" spans="1:18" x14ac:dyDescent="0.25">
      <c r="A214" t="s">
        <v>429</v>
      </c>
      <c r="B214" t="s">
        <v>23</v>
      </c>
      <c r="C214" t="s">
        <v>24</v>
      </c>
      <c r="D214" t="s">
        <v>34</v>
      </c>
      <c r="E214" t="s">
        <v>26</v>
      </c>
      <c r="F214" t="s">
        <v>27</v>
      </c>
      <c r="G214">
        <v>23.03</v>
      </c>
      <c r="H214">
        <v>9</v>
      </c>
      <c r="I214">
        <v>10.3635</v>
      </c>
      <c r="J214">
        <v>217.6335</v>
      </c>
      <c r="K214" s="9">
        <v>43468</v>
      </c>
      <c r="L214" t="s">
        <v>275</v>
      </c>
      <c r="M214" t="s">
        <v>29</v>
      </c>
      <c r="N214">
        <v>207.27</v>
      </c>
      <c r="O214">
        <v>4.7619047620000003</v>
      </c>
      <c r="P214">
        <v>10.3635</v>
      </c>
      <c r="Q214">
        <v>7.9</v>
      </c>
      <c r="R214" t="s">
        <v>30</v>
      </c>
    </row>
    <row r="215" spans="1:18" x14ac:dyDescent="0.25">
      <c r="A215" t="s">
        <v>430</v>
      </c>
      <c r="B215" t="s">
        <v>32</v>
      </c>
      <c r="C215" t="s">
        <v>33</v>
      </c>
      <c r="D215" t="s">
        <v>25</v>
      </c>
      <c r="E215" t="s">
        <v>26</v>
      </c>
      <c r="F215" t="s">
        <v>35</v>
      </c>
      <c r="G215">
        <v>66.650000000000006</v>
      </c>
      <c r="H215">
        <v>9</v>
      </c>
      <c r="I215">
        <v>29.9925</v>
      </c>
      <c r="J215">
        <v>629.84249999999997</v>
      </c>
      <c r="K215" s="9">
        <v>43469</v>
      </c>
      <c r="L215" t="s">
        <v>244</v>
      </c>
      <c r="M215" t="s">
        <v>42</v>
      </c>
      <c r="N215">
        <v>599.85</v>
      </c>
      <c r="O215">
        <v>4.7619047620000003</v>
      </c>
      <c r="P215">
        <v>29.9925</v>
      </c>
      <c r="Q215">
        <v>9.6999999999999993</v>
      </c>
      <c r="R215" t="s">
        <v>30</v>
      </c>
    </row>
    <row r="216" spans="1:18" x14ac:dyDescent="0.25">
      <c r="A216" t="s">
        <v>431</v>
      </c>
      <c r="B216" t="s">
        <v>32</v>
      </c>
      <c r="C216" t="s">
        <v>33</v>
      </c>
      <c r="D216" t="s">
        <v>25</v>
      </c>
      <c r="E216" t="s">
        <v>26</v>
      </c>
      <c r="F216" t="s">
        <v>40</v>
      </c>
      <c r="G216">
        <v>28.53</v>
      </c>
      <c r="H216">
        <v>10</v>
      </c>
      <c r="I216">
        <v>14.265000000000001</v>
      </c>
      <c r="J216">
        <v>299.565</v>
      </c>
      <c r="K216" s="9">
        <v>43542</v>
      </c>
      <c r="L216" t="s">
        <v>432</v>
      </c>
      <c r="M216" t="s">
        <v>29</v>
      </c>
      <c r="N216">
        <v>285.3</v>
      </c>
      <c r="O216">
        <v>4.7619047620000003</v>
      </c>
      <c r="P216">
        <v>14.265000000000001</v>
      </c>
      <c r="Q216">
        <v>7.8</v>
      </c>
      <c r="R216" t="s">
        <v>38</v>
      </c>
    </row>
    <row r="217" spans="1:18" x14ac:dyDescent="0.25">
      <c r="A217" t="s">
        <v>433</v>
      </c>
      <c r="B217" t="s">
        <v>58</v>
      </c>
      <c r="C217" t="s">
        <v>59</v>
      </c>
      <c r="D217" t="s">
        <v>34</v>
      </c>
      <c r="E217" t="s">
        <v>26</v>
      </c>
      <c r="F217" t="s">
        <v>63</v>
      </c>
      <c r="G217">
        <v>30.37</v>
      </c>
      <c r="H217">
        <v>3</v>
      </c>
      <c r="I217">
        <v>4.5555000000000003</v>
      </c>
      <c r="J217">
        <v>95.665499999999994</v>
      </c>
      <c r="K217" s="9">
        <v>43552</v>
      </c>
      <c r="L217" t="s">
        <v>403</v>
      </c>
      <c r="M217" t="s">
        <v>29</v>
      </c>
      <c r="N217">
        <v>91.11</v>
      </c>
      <c r="O217">
        <v>4.7619047620000003</v>
      </c>
      <c r="P217">
        <v>4.5555000000000003</v>
      </c>
      <c r="Q217">
        <v>5.0999999999999996</v>
      </c>
      <c r="R217" t="s">
        <v>38</v>
      </c>
    </row>
    <row r="218" spans="1:18" x14ac:dyDescent="0.25">
      <c r="A218" t="s">
        <v>434</v>
      </c>
      <c r="B218" t="s">
        <v>58</v>
      </c>
      <c r="C218" t="s">
        <v>59</v>
      </c>
      <c r="D218" t="s">
        <v>34</v>
      </c>
      <c r="E218" t="s">
        <v>26</v>
      </c>
      <c r="F218" t="s">
        <v>35</v>
      </c>
      <c r="G218">
        <v>99.73</v>
      </c>
      <c r="H218">
        <v>9</v>
      </c>
      <c r="I218">
        <v>44.878500000000003</v>
      </c>
      <c r="J218">
        <v>942.44849999999997</v>
      </c>
      <c r="K218" s="9">
        <v>43526</v>
      </c>
      <c r="L218" t="s">
        <v>352</v>
      </c>
      <c r="M218" t="s">
        <v>42</v>
      </c>
      <c r="N218">
        <v>897.57</v>
      </c>
      <c r="O218">
        <v>4.7619047620000003</v>
      </c>
      <c r="P218">
        <v>44.878500000000003</v>
      </c>
      <c r="Q218">
        <v>6.5</v>
      </c>
      <c r="R218" t="s">
        <v>38</v>
      </c>
    </row>
    <row r="219" spans="1:18" x14ac:dyDescent="0.25">
      <c r="A219" t="s">
        <v>435</v>
      </c>
      <c r="B219" t="s">
        <v>23</v>
      </c>
      <c r="C219" t="s">
        <v>24</v>
      </c>
      <c r="D219" t="s">
        <v>34</v>
      </c>
      <c r="E219" t="s">
        <v>313</v>
      </c>
      <c r="F219" t="s">
        <v>35</v>
      </c>
      <c r="G219">
        <v>26.23</v>
      </c>
      <c r="H219">
        <v>9</v>
      </c>
      <c r="I219">
        <v>11.8035</v>
      </c>
      <c r="J219">
        <v>247.87350000000001</v>
      </c>
      <c r="K219" s="9">
        <v>43490</v>
      </c>
      <c r="L219" t="s">
        <v>436</v>
      </c>
      <c r="M219" t="s">
        <v>29</v>
      </c>
      <c r="N219">
        <v>236.07</v>
      </c>
      <c r="O219">
        <v>4.7619047620000003</v>
      </c>
      <c r="P219">
        <v>11.8035</v>
      </c>
      <c r="Q219">
        <v>5.9</v>
      </c>
      <c r="R219" t="s">
        <v>30</v>
      </c>
    </row>
    <row r="220" spans="1:18" x14ac:dyDescent="0.25">
      <c r="A220" t="s">
        <v>437</v>
      </c>
      <c r="B220" t="s">
        <v>32</v>
      </c>
      <c r="C220" t="s">
        <v>33</v>
      </c>
      <c r="D220" t="s">
        <v>34</v>
      </c>
      <c r="E220" t="s">
        <v>26</v>
      </c>
      <c r="F220" t="s">
        <v>60</v>
      </c>
      <c r="G220">
        <v>93.26</v>
      </c>
      <c r="H220">
        <v>9</v>
      </c>
      <c r="I220">
        <v>41.966999999999999</v>
      </c>
      <c r="J220">
        <v>881.30700000000002</v>
      </c>
      <c r="K220" s="9">
        <v>43481</v>
      </c>
      <c r="L220" t="s">
        <v>438</v>
      </c>
      <c r="M220" t="s">
        <v>37</v>
      </c>
      <c r="N220">
        <v>839.34</v>
      </c>
      <c r="O220">
        <v>4.7619047620000003</v>
      </c>
      <c r="P220">
        <v>41.966999999999999</v>
      </c>
      <c r="Q220">
        <v>8.8000000000000007</v>
      </c>
      <c r="R220" t="s">
        <v>30</v>
      </c>
    </row>
    <row r="221" spans="1:18" x14ac:dyDescent="0.25">
      <c r="A221" t="s">
        <v>439</v>
      </c>
      <c r="B221" t="s">
        <v>58</v>
      </c>
      <c r="C221" t="s">
        <v>59</v>
      </c>
      <c r="D221" t="s">
        <v>34</v>
      </c>
      <c r="E221" t="s">
        <v>313</v>
      </c>
      <c r="F221" t="s">
        <v>40</v>
      </c>
      <c r="G221">
        <v>92.36</v>
      </c>
      <c r="H221">
        <v>5</v>
      </c>
      <c r="I221">
        <v>23.09</v>
      </c>
      <c r="J221">
        <v>484.89</v>
      </c>
      <c r="K221" s="9">
        <v>43544</v>
      </c>
      <c r="L221" t="s">
        <v>368</v>
      </c>
      <c r="M221" t="s">
        <v>29</v>
      </c>
      <c r="N221">
        <v>461.8</v>
      </c>
      <c r="O221">
        <v>4.7619047620000003</v>
      </c>
      <c r="P221">
        <v>23.09</v>
      </c>
      <c r="Q221">
        <v>4.9000000000000004</v>
      </c>
      <c r="R221" t="s">
        <v>38</v>
      </c>
    </row>
    <row r="222" spans="1:18" x14ac:dyDescent="0.25">
      <c r="A222" t="s">
        <v>440</v>
      </c>
      <c r="B222" t="s">
        <v>58</v>
      </c>
      <c r="C222" t="s">
        <v>59</v>
      </c>
      <c r="D222" t="s">
        <v>34</v>
      </c>
      <c r="E222" t="s">
        <v>313</v>
      </c>
      <c r="F222" t="s">
        <v>46</v>
      </c>
      <c r="G222">
        <v>46.42</v>
      </c>
      <c r="H222">
        <v>3</v>
      </c>
      <c r="I222">
        <v>6.9630000000000001</v>
      </c>
      <c r="J222">
        <v>146.22300000000001</v>
      </c>
      <c r="K222" s="9">
        <v>43469</v>
      </c>
      <c r="L222" t="s">
        <v>120</v>
      </c>
      <c r="M222" t="s">
        <v>42</v>
      </c>
      <c r="N222">
        <v>139.26</v>
      </c>
      <c r="O222">
        <v>4.7619047620000003</v>
      </c>
      <c r="P222">
        <v>6.9630000000000001</v>
      </c>
      <c r="Q222">
        <v>4.4000000000000004</v>
      </c>
      <c r="R222" t="s">
        <v>30</v>
      </c>
    </row>
    <row r="223" spans="1:18" x14ac:dyDescent="0.25">
      <c r="A223" t="s">
        <v>441</v>
      </c>
      <c r="B223" t="s">
        <v>58</v>
      </c>
      <c r="C223" t="s">
        <v>59</v>
      </c>
      <c r="D223" t="s">
        <v>25</v>
      </c>
      <c r="E223" t="s">
        <v>26</v>
      </c>
      <c r="F223" t="s">
        <v>46</v>
      </c>
      <c r="G223">
        <v>29.61</v>
      </c>
      <c r="H223">
        <v>7</v>
      </c>
      <c r="I223">
        <v>10.3635</v>
      </c>
      <c r="J223">
        <v>217.6335</v>
      </c>
      <c r="K223" s="9">
        <v>43535</v>
      </c>
      <c r="L223" t="s">
        <v>442</v>
      </c>
      <c r="M223" t="s">
        <v>37</v>
      </c>
      <c r="N223">
        <v>207.27</v>
      </c>
      <c r="O223">
        <v>4.7619047620000003</v>
      </c>
      <c r="P223">
        <v>10.3635</v>
      </c>
      <c r="Q223">
        <v>6.5</v>
      </c>
      <c r="R223" t="s">
        <v>38</v>
      </c>
    </row>
    <row r="224" spans="1:18" x14ac:dyDescent="0.25">
      <c r="A224" t="s">
        <v>443</v>
      </c>
      <c r="B224" t="s">
        <v>23</v>
      </c>
      <c r="C224" t="s">
        <v>24</v>
      </c>
      <c r="D224" t="s">
        <v>34</v>
      </c>
      <c r="E224" t="s">
        <v>313</v>
      </c>
      <c r="F224" t="s">
        <v>40</v>
      </c>
      <c r="G224">
        <v>18.28</v>
      </c>
      <c r="H224">
        <v>1</v>
      </c>
      <c r="I224">
        <v>0.91400000000000003</v>
      </c>
      <c r="J224">
        <v>19.193999999999999</v>
      </c>
      <c r="K224" s="9">
        <v>43546</v>
      </c>
      <c r="L224" t="s">
        <v>444</v>
      </c>
      <c r="M224" t="s">
        <v>42</v>
      </c>
      <c r="N224">
        <v>18.28</v>
      </c>
      <c r="O224">
        <v>4.7619047620000003</v>
      </c>
      <c r="P224">
        <v>0.91400000000000003</v>
      </c>
      <c r="Q224">
        <v>8.3000000000000007</v>
      </c>
      <c r="R224" t="s">
        <v>38</v>
      </c>
    </row>
    <row r="225" spans="1:18" x14ac:dyDescent="0.25">
      <c r="A225" t="s">
        <v>445</v>
      </c>
      <c r="B225" t="s">
        <v>58</v>
      </c>
      <c r="C225" t="s">
        <v>59</v>
      </c>
      <c r="D225" t="s">
        <v>34</v>
      </c>
      <c r="E225" t="s">
        <v>26</v>
      </c>
      <c r="F225" t="s">
        <v>46</v>
      </c>
      <c r="G225">
        <v>24.77</v>
      </c>
      <c r="H225">
        <v>5</v>
      </c>
      <c r="I225">
        <v>6.1924999999999999</v>
      </c>
      <c r="J225">
        <v>130.04249999999999</v>
      </c>
      <c r="K225" s="9">
        <v>43548</v>
      </c>
      <c r="L225" t="s">
        <v>446</v>
      </c>
      <c r="M225" t="s">
        <v>37</v>
      </c>
      <c r="N225">
        <v>123.85</v>
      </c>
      <c r="O225">
        <v>4.7619047620000003</v>
      </c>
      <c r="P225">
        <v>6.1924999999999999</v>
      </c>
      <c r="Q225">
        <v>8.5</v>
      </c>
      <c r="R225" t="s">
        <v>38</v>
      </c>
    </row>
    <row r="226" spans="1:18" x14ac:dyDescent="0.25">
      <c r="A226" t="s">
        <v>447</v>
      </c>
      <c r="B226" t="s">
        <v>23</v>
      </c>
      <c r="C226" t="s">
        <v>24</v>
      </c>
      <c r="D226" t="s">
        <v>25</v>
      </c>
      <c r="E226" t="s">
        <v>26</v>
      </c>
      <c r="F226" t="s">
        <v>35</v>
      </c>
      <c r="G226">
        <v>94.64</v>
      </c>
      <c r="H226">
        <v>3</v>
      </c>
      <c r="I226">
        <v>14.196</v>
      </c>
      <c r="J226">
        <v>298.11599999999999</v>
      </c>
      <c r="K226" s="9">
        <v>43517</v>
      </c>
      <c r="L226" t="s">
        <v>448</v>
      </c>
      <c r="M226" t="s">
        <v>37</v>
      </c>
      <c r="N226">
        <v>283.92</v>
      </c>
      <c r="O226">
        <v>4.7619047620000003</v>
      </c>
      <c r="P226">
        <v>14.196</v>
      </c>
      <c r="Q226">
        <v>5.5</v>
      </c>
      <c r="R226" t="s">
        <v>48</v>
      </c>
    </row>
    <row r="227" spans="1:18" x14ac:dyDescent="0.25">
      <c r="A227" t="s">
        <v>449</v>
      </c>
      <c r="B227" t="s">
        <v>58</v>
      </c>
      <c r="C227" t="s">
        <v>59</v>
      </c>
      <c r="D227" t="s">
        <v>34</v>
      </c>
      <c r="E227" t="s">
        <v>313</v>
      </c>
      <c r="F227" t="s">
        <v>63</v>
      </c>
      <c r="G227">
        <v>94.87</v>
      </c>
      <c r="H227">
        <v>8</v>
      </c>
      <c r="I227">
        <v>37.948</v>
      </c>
      <c r="J227">
        <v>796.90800000000002</v>
      </c>
      <c r="K227" s="9">
        <v>43508</v>
      </c>
      <c r="L227" t="s">
        <v>450</v>
      </c>
      <c r="M227" t="s">
        <v>29</v>
      </c>
      <c r="N227">
        <v>758.96</v>
      </c>
      <c r="O227">
        <v>4.7619047620000003</v>
      </c>
      <c r="P227">
        <v>37.948</v>
      </c>
      <c r="Q227">
        <v>8.6999999999999993</v>
      </c>
      <c r="R227" t="s">
        <v>48</v>
      </c>
    </row>
    <row r="228" spans="1:18" x14ac:dyDescent="0.25">
      <c r="A228" t="s">
        <v>451</v>
      </c>
      <c r="B228" t="s">
        <v>58</v>
      </c>
      <c r="C228" t="s">
        <v>59</v>
      </c>
      <c r="D228" t="s">
        <v>34</v>
      </c>
      <c r="E228" t="s">
        <v>26</v>
      </c>
      <c r="F228" t="s">
        <v>60</v>
      </c>
      <c r="G228">
        <v>57.34</v>
      </c>
      <c r="H228">
        <v>3</v>
      </c>
      <c r="I228">
        <v>8.6010000000000009</v>
      </c>
      <c r="J228">
        <v>180.62100000000001</v>
      </c>
      <c r="K228" s="9">
        <v>43534</v>
      </c>
      <c r="L228" t="s">
        <v>452</v>
      </c>
      <c r="M228" t="s">
        <v>42</v>
      </c>
      <c r="N228">
        <v>172.02</v>
      </c>
      <c r="O228">
        <v>4.7619047620000003</v>
      </c>
      <c r="P228">
        <v>8.6010000000000009</v>
      </c>
      <c r="Q228">
        <v>7.9</v>
      </c>
      <c r="R228" t="s">
        <v>38</v>
      </c>
    </row>
    <row r="229" spans="1:18" x14ac:dyDescent="0.25">
      <c r="A229" t="s">
        <v>453</v>
      </c>
      <c r="B229" t="s">
        <v>58</v>
      </c>
      <c r="C229" t="s">
        <v>59</v>
      </c>
      <c r="D229" t="s">
        <v>34</v>
      </c>
      <c r="E229" t="s">
        <v>313</v>
      </c>
      <c r="F229" t="s">
        <v>35</v>
      </c>
      <c r="G229">
        <v>45.35</v>
      </c>
      <c r="H229">
        <v>6</v>
      </c>
      <c r="I229">
        <v>13.605</v>
      </c>
      <c r="J229">
        <v>285.70499999999998</v>
      </c>
      <c r="K229" s="9">
        <v>43496</v>
      </c>
      <c r="L229" t="s">
        <v>454</v>
      </c>
      <c r="M229" t="s">
        <v>29</v>
      </c>
      <c r="N229">
        <v>272.10000000000002</v>
      </c>
      <c r="O229">
        <v>4.7619047620000003</v>
      </c>
      <c r="P229">
        <v>13.605</v>
      </c>
      <c r="Q229">
        <v>6.1</v>
      </c>
      <c r="R229" t="s">
        <v>30</v>
      </c>
    </row>
    <row r="230" spans="1:18" x14ac:dyDescent="0.25">
      <c r="A230" t="s">
        <v>455</v>
      </c>
      <c r="B230" t="s">
        <v>58</v>
      </c>
      <c r="C230" t="s">
        <v>59</v>
      </c>
      <c r="D230" t="s">
        <v>34</v>
      </c>
      <c r="E230" t="s">
        <v>313</v>
      </c>
      <c r="F230" t="s">
        <v>60</v>
      </c>
      <c r="G230">
        <v>62.08</v>
      </c>
      <c r="H230">
        <v>7</v>
      </c>
      <c r="I230">
        <v>21.728000000000002</v>
      </c>
      <c r="J230">
        <v>456.28800000000001</v>
      </c>
      <c r="K230" s="9">
        <v>43530</v>
      </c>
      <c r="L230" t="s">
        <v>456</v>
      </c>
      <c r="M230" t="s">
        <v>29</v>
      </c>
      <c r="N230">
        <v>434.56</v>
      </c>
      <c r="O230">
        <v>4.7619047620000003</v>
      </c>
      <c r="P230">
        <v>21.728000000000002</v>
      </c>
      <c r="Q230">
        <v>5.4</v>
      </c>
      <c r="R230" t="s">
        <v>38</v>
      </c>
    </row>
    <row r="231" spans="1:18" x14ac:dyDescent="0.25">
      <c r="A231" t="s">
        <v>457</v>
      </c>
      <c r="B231" t="s">
        <v>32</v>
      </c>
      <c r="C231" t="s">
        <v>33</v>
      </c>
      <c r="D231" t="s">
        <v>34</v>
      </c>
      <c r="E231" t="s">
        <v>313</v>
      </c>
      <c r="F231" t="s">
        <v>35</v>
      </c>
      <c r="G231">
        <v>11.81</v>
      </c>
      <c r="H231">
        <v>5</v>
      </c>
      <c r="I231">
        <v>2.9525000000000001</v>
      </c>
      <c r="J231">
        <v>62.002499999999998</v>
      </c>
      <c r="K231" s="9">
        <v>43513</v>
      </c>
      <c r="L231" t="s">
        <v>458</v>
      </c>
      <c r="M231" t="s">
        <v>37</v>
      </c>
      <c r="N231">
        <v>59.05</v>
      </c>
      <c r="O231">
        <v>4.7619047620000003</v>
      </c>
      <c r="P231">
        <v>2.9525000000000001</v>
      </c>
      <c r="Q231">
        <v>9.4</v>
      </c>
      <c r="R231" t="s">
        <v>48</v>
      </c>
    </row>
    <row r="232" spans="1:18" x14ac:dyDescent="0.25">
      <c r="A232" t="s">
        <v>459</v>
      </c>
      <c r="B232" t="s">
        <v>32</v>
      </c>
      <c r="C232" t="s">
        <v>33</v>
      </c>
      <c r="D232" t="s">
        <v>25</v>
      </c>
      <c r="E232" t="s">
        <v>26</v>
      </c>
      <c r="F232" t="s">
        <v>63</v>
      </c>
      <c r="G232">
        <v>12.54</v>
      </c>
      <c r="H232">
        <v>1</v>
      </c>
      <c r="I232">
        <v>0.627</v>
      </c>
      <c r="J232">
        <v>13.167</v>
      </c>
      <c r="K232" s="9">
        <v>43517</v>
      </c>
      <c r="L232" t="s">
        <v>460</v>
      </c>
      <c r="M232" t="s">
        <v>37</v>
      </c>
      <c r="N232">
        <v>12.54</v>
      </c>
      <c r="O232">
        <v>4.7619047620000003</v>
      </c>
      <c r="P232">
        <v>0.627</v>
      </c>
      <c r="Q232">
        <v>8.1999999999999993</v>
      </c>
      <c r="R232" t="s">
        <v>48</v>
      </c>
    </row>
    <row r="233" spans="1:18" x14ac:dyDescent="0.25">
      <c r="A233" t="s">
        <v>461</v>
      </c>
      <c r="B233" t="s">
        <v>23</v>
      </c>
      <c r="C233" t="s">
        <v>24</v>
      </c>
      <c r="D233" t="s">
        <v>34</v>
      </c>
      <c r="E233" t="s">
        <v>313</v>
      </c>
      <c r="F233" t="s">
        <v>60</v>
      </c>
      <c r="G233">
        <v>43.25</v>
      </c>
      <c r="H233">
        <v>2</v>
      </c>
      <c r="I233">
        <v>4.3250000000000002</v>
      </c>
      <c r="J233">
        <v>90.825000000000003</v>
      </c>
      <c r="K233" s="9">
        <v>43544</v>
      </c>
      <c r="L233" t="s">
        <v>462</v>
      </c>
      <c r="M233" t="s">
        <v>37</v>
      </c>
      <c r="N233">
        <v>86.5</v>
      </c>
      <c r="O233">
        <v>4.7619047620000003</v>
      </c>
      <c r="P233">
        <v>4.3250000000000002</v>
      </c>
      <c r="Q233">
        <v>6.2</v>
      </c>
      <c r="R233" t="s">
        <v>38</v>
      </c>
    </row>
    <row r="234" spans="1:18" x14ac:dyDescent="0.25">
      <c r="A234" t="s">
        <v>463</v>
      </c>
      <c r="B234" t="s">
        <v>32</v>
      </c>
      <c r="C234" t="s">
        <v>33</v>
      </c>
      <c r="D234" t="s">
        <v>25</v>
      </c>
      <c r="E234" t="s">
        <v>26</v>
      </c>
      <c r="F234" t="s">
        <v>46</v>
      </c>
      <c r="G234">
        <v>87.16</v>
      </c>
      <c r="H234">
        <v>2</v>
      </c>
      <c r="I234">
        <v>8.7159999999999993</v>
      </c>
      <c r="J234">
        <v>183.036</v>
      </c>
      <c r="K234" s="9">
        <v>43476</v>
      </c>
      <c r="L234" t="s">
        <v>464</v>
      </c>
      <c r="M234" t="s">
        <v>42</v>
      </c>
      <c r="N234">
        <v>174.32</v>
      </c>
      <c r="O234">
        <v>4.7619047620000003</v>
      </c>
      <c r="P234">
        <v>8.7159999999999993</v>
      </c>
      <c r="Q234">
        <v>9.6999999999999993</v>
      </c>
      <c r="R234" t="s">
        <v>30</v>
      </c>
    </row>
    <row r="235" spans="1:18" x14ac:dyDescent="0.25">
      <c r="A235" t="s">
        <v>465</v>
      </c>
      <c r="B235" t="s">
        <v>58</v>
      </c>
      <c r="C235" t="s">
        <v>59</v>
      </c>
      <c r="D235" t="s">
        <v>25</v>
      </c>
      <c r="E235" t="s">
        <v>313</v>
      </c>
      <c r="F235" t="s">
        <v>27</v>
      </c>
      <c r="G235">
        <v>69.37</v>
      </c>
      <c r="H235">
        <v>9</v>
      </c>
      <c r="I235">
        <v>31.2165</v>
      </c>
      <c r="J235">
        <v>655.54650000000004</v>
      </c>
      <c r="K235" s="9">
        <v>43491</v>
      </c>
      <c r="L235" t="s">
        <v>466</v>
      </c>
      <c r="M235" t="s">
        <v>29</v>
      </c>
      <c r="N235">
        <v>624.33000000000004</v>
      </c>
      <c r="O235">
        <v>4.7619047620000003</v>
      </c>
      <c r="P235">
        <v>31.2165</v>
      </c>
      <c r="Q235">
        <v>4</v>
      </c>
      <c r="R235" t="s">
        <v>30</v>
      </c>
    </row>
    <row r="236" spans="1:18" x14ac:dyDescent="0.25">
      <c r="A236" t="s">
        <v>467</v>
      </c>
      <c r="B236" t="s">
        <v>32</v>
      </c>
      <c r="C236" t="s">
        <v>33</v>
      </c>
      <c r="D236" t="s">
        <v>25</v>
      </c>
      <c r="E236" t="s">
        <v>313</v>
      </c>
      <c r="F236" t="s">
        <v>35</v>
      </c>
      <c r="G236">
        <v>37.06</v>
      </c>
      <c r="H236">
        <v>4</v>
      </c>
      <c r="I236">
        <v>7.4119999999999999</v>
      </c>
      <c r="J236">
        <v>155.65199999999999</v>
      </c>
      <c r="K236" s="9">
        <v>43496</v>
      </c>
      <c r="L236" t="s">
        <v>197</v>
      </c>
      <c r="M236" t="s">
        <v>29</v>
      </c>
      <c r="N236">
        <v>148.24</v>
      </c>
      <c r="O236">
        <v>4.7619047620000003</v>
      </c>
      <c r="P236">
        <v>7.4119999999999999</v>
      </c>
      <c r="Q236">
        <v>9.6999999999999993</v>
      </c>
      <c r="R236" t="s">
        <v>30</v>
      </c>
    </row>
    <row r="237" spans="1:18" x14ac:dyDescent="0.25">
      <c r="A237" t="s">
        <v>468</v>
      </c>
      <c r="B237" t="s">
        <v>58</v>
      </c>
      <c r="C237" t="s">
        <v>59</v>
      </c>
      <c r="D237" t="s">
        <v>25</v>
      </c>
      <c r="E237" t="s">
        <v>26</v>
      </c>
      <c r="F237" t="s">
        <v>35</v>
      </c>
      <c r="G237">
        <v>90.7</v>
      </c>
      <c r="H237">
        <v>6</v>
      </c>
      <c r="I237">
        <v>27.21</v>
      </c>
      <c r="J237">
        <v>571.41</v>
      </c>
      <c r="K237" s="9">
        <v>43522</v>
      </c>
      <c r="L237" t="s">
        <v>469</v>
      </c>
      <c r="M237" t="s">
        <v>37</v>
      </c>
      <c r="N237">
        <v>544.20000000000005</v>
      </c>
      <c r="O237">
        <v>4.7619047620000003</v>
      </c>
      <c r="P237">
        <v>27.21</v>
      </c>
      <c r="Q237">
        <v>5.3</v>
      </c>
      <c r="R237" t="s">
        <v>48</v>
      </c>
    </row>
    <row r="238" spans="1:18" x14ac:dyDescent="0.25">
      <c r="A238" t="s">
        <v>470</v>
      </c>
      <c r="B238" t="s">
        <v>23</v>
      </c>
      <c r="C238" t="s">
        <v>24</v>
      </c>
      <c r="D238" t="s">
        <v>34</v>
      </c>
      <c r="E238" t="s">
        <v>26</v>
      </c>
      <c r="F238" t="s">
        <v>40</v>
      </c>
      <c r="G238">
        <v>63.42</v>
      </c>
      <c r="H238">
        <v>8</v>
      </c>
      <c r="I238">
        <v>25.367999999999999</v>
      </c>
      <c r="J238">
        <v>532.72799999999995</v>
      </c>
      <c r="K238" s="9">
        <v>43535</v>
      </c>
      <c r="L238" t="s">
        <v>471</v>
      </c>
      <c r="M238" t="s">
        <v>29</v>
      </c>
      <c r="N238">
        <v>507.36</v>
      </c>
      <c r="O238">
        <v>4.7619047620000003</v>
      </c>
      <c r="P238">
        <v>25.367999999999999</v>
      </c>
      <c r="Q238">
        <v>7.4</v>
      </c>
      <c r="R238" t="s">
        <v>38</v>
      </c>
    </row>
    <row r="239" spans="1:18" x14ac:dyDescent="0.25">
      <c r="A239" t="s">
        <v>472</v>
      </c>
      <c r="B239" t="s">
        <v>58</v>
      </c>
      <c r="C239" t="s">
        <v>59</v>
      </c>
      <c r="D239" t="s">
        <v>34</v>
      </c>
      <c r="E239" t="s">
        <v>26</v>
      </c>
      <c r="F239" t="s">
        <v>63</v>
      </c>
      <c r="G239">
        <v>81.37</v>
      </c>
      <c r="H239">
        <v>2</v>
      </c>
      <c r="I239">
        <v>8.1370000000000005</v>
      </c>
      <c r="J239">
        <v>170.87700000000001</v>
      </c>
      <c r="K239" s="9">
        <v>43491</v>
      </c>
      <c r="L239" t="s">
        <v>473</v>
      </c>
      <c r="M239" t="s">
        <v>37</v>
      </c>
      <c r="N239">
        <v>162.74</v>
      </c>
      <c r="O239">
        <v>4.7619047620000003</v>
      </c>
      <c r="P239">
        <v>8.1370000000000005</v>
      </c>
      <c r="Q239">
        <v>6.5</v>
      </c>
      <c r="R239" t="s">
        <v>30</v>
      </c>
    </row>
    <row r="240" spans="1:18" x14ac:dyDescent="0.25">
      <c r="A240" t="s">
        <v>474</v>
      </c>
      <c r="B240" t="s">
        <v>58</v>
      </c>
      <c r="C240" t="s">
        <v>59</v>
      </c>
      <c r="D240" t="s">
        <v>25</v>
      </c>
      <c r="E240" t="s">
        <v>26</v>
      </c>
      <c r="F240" t="s">
        <v>35</v>
      </c>
      <c r="G240">
        <v>10.59</v>
      </c>
      <c r="H240">
        <v>3</v>
      </c>
      <c r="I240">
        <v>1.5885</v>
      </c>
      <c r="J240">
        <v>33.358499999999999</v>
      </c>
      <c r="K240" s="9">
        <v>43536</v>
      </c>
      <c r="L240" t="s">
        <v>475</v>
      </c>
      <c r="M240" t="s">
        <v>42</v>
      </c>
      <c r="N240">
        <v>31.77</v>
      </c>
      <c r="O240">
        <v>4.7619047620000003</v>
      </c>
      <c r="P240">
        <v>1.5885</v>
      </c>
      <c r="Q240">
        <v>8.6999999999999993</v>
      </c>
      <c r="R240" t="s">
        <v>38</v>
      </c>
    </row>
    <row r="241" spans="1:18" x14ac:dyDescent="0.25">
      <c r="A241" t="s">
        <v>476</v>
      </c>
      <c r="B241" t="s">
        <v>58</v>
      </c>
      <c r="C241" t="s">
        <v>59</v>
      </c>
      <c r="D241" t="s">
        <v>34</v>
      </c>
      <c r="E241" t="s">
        <v>26</v>
      </c>
      <c r="F241" t="s">
        <v>27</v>
      </c>
      <c r="G241">
        <v>84.09</v>
      </c>
      <c r="H241">
        <v>9</v>
      </c>
      <c r="I241">
        <v>37.840499999999999</v>
      </c>
      <c r="J241">
        <v>794.65049999999997</v>
      </c>
      <c r="K241" s="9">
        <v>43507</v>
      </c>
      <c r="L241" t="s">
        <v>477</v>
      </c>
      <c r="M241" t="s">
        <v>37</v>
      </c>
      <c r="N241">
        <v>756.81</v>
      </c>
      <c r="O241">
        <v>4.7619047620000003</v>
      </c>
      <c r="P241">
        <v>37.840499999999999</v>
      </c>
      <c r="Q241">
        <v>8</v>
      </c>
      <c r="R241" t="s">
        <v>48</v>
      </c>
    </row>
    <row r="242" spans="1:18" x14ac:dyDescent="0.25">
      <c r="A242" t="s">
        <v>478</v>
      </c>
      <c r="B242" t="s">
        <v>58</v>
      </c>
      <c r="C242" t="s">
        <v>59</v>
      </c>
      <c r="D242" t="s">
        <v>25</v>
      </c>
      <c r="E242" t="s">
        <v>313</v>
      </c>
      <c r="F242" t="s">
        <v>63</v>
      </c>
      <c r="G242">
        <v>73.819999999999993</v>
      </c>
      <c r="H242">
        <v>4</v>
      </c>
      <c r="I242">
        <v>14.763999999999999</v>
      </c>
      <c r="J242">
        <v>310.04399999999998</v>
      </c>
      <c r="K242" s="9">
        <v>43517</v>
      </c>
      <c r="L242" t="s">
        <v>479</v>
      </c>
      <c r="M242" t="s">
        <v>37</v>
      </c>
      <c r="N242">
        <v>295.27999999999997</v>
      </c>
      <c r="O242">
        <v>4.7619047620000003</v>
      </c>
      <c r="P242">
        <v>14.763999999999999</v>
      </c>
      <c r="Q242">
        <v>6.7</v>
      </c>
      <c r="R242" t="s">
        <v>48</v>
      </c>
    </row>
    <row r="243" spans="1:18" x14ac:dyDescent="0.25">
      <c r="A243" t="s">
        <v>480</v>
      </c>
      <c r="B243" t="s">
        <v>23</v>
      </c>
      <c r="C243" t="s">
        <v>24</v>
      </c>
      <c r="D243" t="s">
        <v>25</v>
      </c>
      <c r="E243" t="s">
        <v>313</v>
      </c>
      <c r="F243" t="s">
        <v>27</v>
      </c>
      <c r="G243">
        <v>51.94</v>
      </c>
      <c r="H243">
        <v>10</v>
      </c>
      <c r="I243">
        <v>25.97</v>
      </c>
      <c r="J243">
        <v>545.37</v>
      </c>
      <c r="K243" s="9">
        <v>43533</v>
      </c>
      <c r="L243" t="s">
        <v>481</v>
      </c>
      <c r="M243" t="s">
        <v>29</v>
      </c>
      <c r="N243">
        <v>519.4</v>
      </c>
      <c r="O243">
        <v>4.7619047620000003</v>
      </c>
      <c r="P243">
        <v>25.97</v>
      </c>
      <c r="Q243">
        <v>6.5</v>
      </c>
      <c r="R243" t="s">
        <v>38</v>
      </c>
    </row>
    <row r="244" spans="1:18" x14ac:dyDescent="0.25">
      <c r="A244" t="s">
        <v>482</v>
      </c>
      <c r="B244" t="s">
        <v>23</v>
      </c>
      <c r="C244" t="s">
        <v>24</v>
      </c>
      <c r="D244" t="s">
        <v>34</v>
      </c>
      <c r="E244" t="s">
        <v>26</v>
      </c>
      <c r="F244" t="s">
        <v>46</v>
      </c>
      <c r="G244">
        <v>93.14</v>
      </c>
      <c r="H244">
        <v>2</v>
      </c>
      <c r="I244">
        <v>9.3140000000000001</v>
      </c>
      <c r="J244">
        <v>195.59399999999999</v>
      </c>
      <c r="K244" s="9">
        <v>43485</v>
      </c>
      <c r="L244" t="s">
        <v>483</v>
      </c>
      <c r="M244" t="s">
        <v>29</v>
      </c>
      <c r="N244">
        <v>186.28</v>
      </c>
      <c r="O244">
        <v>4.7619047620000003</v>
      </c>
      <c r="P244">
        <v>9.3140000000000001</v>
      </c>
      <c r="Q244">
        <v>4.0999999999999996</v>
      </c>
      <c r="R244" t="s">
        <v>30</v>
      </c>
    </row>
    <row r="245" spans="1:18" x14ac:dyDescent="0.25">
      <c r="A245" t="s">
        <v>484</v>
      </c>
      <c r="B245" t="s">
        <v>32</v>
      </c>
      <c r="C245" t="s">
        <v>33</v>
      </c>
      <c r="D245" t="s">
        <v>34</v>
      </c>
      <c r="E245" t="s">
        <v>313</v>
      </c>
      <c r="F245" t="s">
        <v>27</v>
      </c>
      <c r="G245">
        <v>17.41</v>
      </c>
      <c r="H245">
        <v>5</v>
      </c>
      <c r="I245">
        <v>4.3525</v>
      </c>
      <c r="J245">
        <v>91.402500000000003</v>
      </c>
      <c r="K245" s="9">
        <v>43493</v>
      </c>
      <c r="L245" t="s">
        <v>485</v>
      </c>
      <c r="M245" t="s">
        <v>42</v>
      </c>
      <c r="N245">
        <v>87.05</v>
      </c>
      <c r="O245">
        <v>4.7619047620000003</v>
      </c>
      <c r="P245">
        <v>4.3525</v>
      </c>
      <c r="Q245">
        <v>4.9000000000000004</v>
      </c>
      <c r="R245" t="s">
        <v>30</v>
      </c>
    </row>
    <row r="246" spans="1:18" x14ac:dyDescent="0.25">
      <c r="A246" t="s">
        <v>486</v>
      </c>
      <c r="B246" t="s">
        <v>32</v>
      </c>
      <c r="C246" t="s">
        <v>33</v>
      </c>
      <c r="D246" t="s">
        <v>25</v>
      </c>
      <c r="E246" t="s">
        <v>26</v>
      </c>
      <c r="F246" t="s">
        <v>63</v>
      </c>
      <c r="G246">
        <v>44.22</v>
      </c>
      <c r="H246">
        <v>5</v>
      </c>
      <c r="I246">
        <v>11.055</v>
      </c>
      <c r="J246">
        <v>232.155</v>
      </c>
      <c r="K246" s="9">
        <v>43529</v>
      </c>
      <c r="L246" t="s">
        <v>487</v>
      </c>
      <c r="M246" t="s">
        <v>42</v>
      </c>
      <c r="N246">
        <v>221.1</v>
      </c>
      <c r="O246">
        <v>4.7619047620000003</v>
      </c>
      <c r="P246">
        <v>11.055</v>
      </c>
      <c r="Q246">
        <v>8.6</v>
      </c>
      <c r="R246" t="s">
        <v>38</v>
      </c>
    </row>
    <row r="247" spans="1:18" x14ac:dyDescent="0.25">
      <c r="A247" t="s">
        <v>488</v>
      </c>
      <c r="B247" t="s">
        <v>58</v>
      </c>
      <c r="C247" t="s">
        <v>59</v>
      </c>
      <c r="D247" t="s">
        <v>25</v>
      </c>
      <c r="E247" t="s">
        <v>26</v>
      </c>
      <c r="F247" t="s">
        <v>35</v>
      </c>
      <c r="G247">
        <v>13.22</v>
      </c>
      <c r="H247">
        <v>5</v>
      </c>
      <c r="I247">
        <v>3.3050000000000002</v>
      </c>
      <c r="J247">
        <v>69.405000000000001</v>
      </c>
      <c r="K247" s="9">
        <v>43526</v>
      </c>
      <c r="L247" t="s">
        <v>489</v>
      </c>
      <c r="M247" t="s">
        <v>37</v>
      </c>
      <c r="N247">
        <v>66.099999999999994</v>
      </c>
      <c r="O247">
        <v>4.7619047620000003</v>
      </c>
      <c r="P247">
        <v>3.3050000000000002</v>
      </c>
      <c r="Q247">
        <v>4.3</v>
      </c>
      <c r="R247" t="s">
        <v>38</v>
      </c>
    </row>
    <row r="248" spans="1:18" x14ac:dyDescent="0.25">
      <c r="A248" t="s">
        <v>490</v>
      </c>
      <c r="B248" t="s">
        <v>23</v>
      </c>
      <c r="C248" t="s">
        <v>24</v>
      </c>
      <c r="D248" t="s">
        <v>34</v>
      </c>
      <c r="E248" t="s">
        <v>313</v>
      </c>
      <c r="F248" t="s">
        <v>63</v>
      </c>
      <c r="G248">
        <v>89.69</v>
      </c>
      <c r="H248">
        <v>1</v>
      </c>
      <c r="I248">
        <v>4.4844999999999997</v>
      </c>
      <c r="J248">
        <v>94.174499999999995</v>
      </c>
      <c r="K248" s="9">
        <v>43476</v>
      </c>
      <c r="L248" t="s">
        <v>491</v>
      </c>
      <c r="M248" t="s">
        <v>29</v>
      </c>
      <c r="N248">
        <v>89.69</v>
      </c>
      <c r="O248">
        <v>4.7619047620000003</v>
      </c>
      <c r="P248">
        <v>4.4844999999999997</v>
      </c>
      <c r="Q248">
        <v>4.9000000000000004</v>
      </c>
      <c r="R248" t="s">
        <v>30</v>
      </c>
    </row>
    <row r="249" spans="1:18" x14ac:dyDescent="0.25">
      <c r="A249" t="s">
        <v>492</v>
      </c>
      <c r="B249" t="s">
        <v>23</v>
      </c>
      <c r="C249" t="s">
        <v>24</v>
      </c>
      <c r="D249" t="s">
        <v>34</v>
      </c>
      <c r="E249" t="s">
        <v>313</v>
      </c>
      <c r="F249" t="s">
        <v>60</v>
      </c>
      <c r="G249">
        <v>24.94</v>
      </c>
      <c r="H249">
        <v>9</v>
      </c>
      <c r="I249">
        <v>11.223000000000001</v>
      </c>
      <c r="J249">
        <v>235.68299999999999</v>
      </c>
      <c r="K249" s="9">
        <v>43476</v>
      </c>
      <c r="L249" t="s">
        <v>493</v>
      </c>
      <c r="M249" t="s">
        <v>42</v>
      </c>
      <c r="N249">
        <v>224.46</v>
      </c>
      <c r="O249">
        <v>4.7619047620000003</v>
      </c>
      <c r="P249">
        <v>11.223000000000001</v>
      </c>
      <c r="Q249">
        <v>5.6</v>
      </c>
      <c r="R249" t="s">
        <v>30</v>
      </c>
    </row>
    <row r="250" spans="1:18" x14ac:dyDescent="0.25">
      <c r="A250" t="s">
        <v>494</v>
      </c>
      <c r="B250" t="s">
        <v>23</v>
      </c>
      <c r="C250" t="s">
        <v>24</v>
      </c>
      <c r="D250" t="s">
        <v>34</v>
      </c>
      <c r="E250" t="s">
        <v>313</v>
      </c>
      <c r="F250" t="s">
        <v>27</v>
      </c>
      <c r="G250">
        <v>59.77</v>
      </c>
      <c r="H250">
        <v>2</v>
      </c>
      <c r="I250">
        <v>5.9770000000000003</v>
      </c>
      <c r="J250">
        <v>125.517</v>
      </c>
      <c r="K250" s="9">
        <v>43535</v>
      </c>
      <c r="L250" t="s">
        <v>495</v>
      </c>
      <c r="M250" t="s">
        <v>42</v>
      </c>
      <c r="N250">
        <v>119.54</v>
      </c>
      <c r="O250">
        <v>4.7619047620000003</v>
      </c>
      <c r="P250">
        <v>5.9770000000000003</v>
      </c>
      <c r="Q250">
        <v>5.8</v>
      </c>
      <c r="R250" t="s">
        <v>38</v>
      </c>
    </row>
    <row r="251" spans="1:18" x14ac:dyDescent="0.25">
      <c r="A251" t="s">
        <v>496</v>
      </c>
      <c r="B251" t="s">
        <v>32</v>
      </c>
      <c r="C251" t="s">
        <v>33</v>
      </c>
      <c r="D251" t="s">
        <v>25</v>
      </c>
      <c r="E251" t="s">
        <v>313</v>
      </c>
      <c r="F251" t="s">
        <v>63</v>
      </c>
      <c r="G251">
        <v>93.2</v>
      </c>
      <c r="H251">
        <v>2</v>
      </c>
      <c r="I251">
        <v>9.32</v>
      </c>
      <c r="J251">
        <v>195.72</v>
      </c>
      <c r="K251" s="9">
        <v>43524</v>
      </c>
      <c r="L251" t="s">
        <v>204</v>
      </c>
      <c r="M251" t="s">
        <v>42</v>
      </c>
      <c r="N251">
        <v>186.4</v>
      </c>
      <c r="O251">
        <v>4.7619047620000003</v>
      </c>
      <c r="P251">
        <v>9.32</v>
      </c>
      <c r="Q251">
        <v>6</v>
      </c>
      <c r="R251" t="s">
        <v>48</v>
      </c>
    </row>
    <row r="252" spans="1:18" x14ac:dyDescent="0.25">
      <c r="A252" t="s">
        <v>497</v>
      </c>
      <c r="B252" t="s">
        <v>23</v>
      </c>
      <c r="C252" t="s">
        <v>24</v>
      </c>
      <c r="D252" t="s">
        <v>25</v>
      </c>
      <c r="E252" t="s">
        <v>313</v>
      </c>
      <c r="F252" t="s">
        <v>40</v>
      </c>
      <c r="G252">
        <v>62.65</v>
      </c>
      <c r="H252">
        <v>4</v>
      </c>
      <c r="I252">
        <v>12.53</v>
      </c>
      <c r="J252">
        <v>263.13</v>
      </c>
      <c r="K252" s="9">
        <v>43470</v>
      </c>
      <c r="L252" t="s">
        <v>498</v>
      </c>
      <c r="M252" t="s">
        <v>37</v>
      </c>
      <c r="N252">
        <v>250.6</v>
      </c>
      <c r="O252">
        <v>4.7619047620000003</v>
      </c>
      <c r="P252">
        <v>12.53</v>
      </c>
      <c r="Q252">
        <v>4.2</v>
      </c>
      <c r="R252" t="s">
        <v>30</v>
      </c>
    </row>
    <row r="253" spans="1:18" x14ac:dyDescent="0.25">
      <c r="A253" t="s">
        <v>499</v>
      </c>
      <c r="B253" t="s">
        <v>58</v>
      </c>
      <c r="C253" t="s">
        <v>59</v>
      </c>
      <c r="D253" t="s">
        <v>34</v>
      </c>
      <c r="E253" t="s">
        <v>313</v>
      </c>
      <c r="F253" t="s">
        <v>40</v>
      </c>
      <c r="G253">
        <v>93.87</v>
      </c>
      <c r="H253">
        <v>8</v>
      </c>
      <c r="I253">
        <v>37.548000000000002</v>
      </c>
      <c r="J253">
        <v>788.50800000000004</v>
      </c>
      <c r="K253" s="9">
        <v>43498</v>
      </c>
      <c r="L253" t="s">
        <v>500</v>
      </c>
      <c r="M253" t="s">
        <v>42</v>
      </c>
      <c r="N253">
        <v>750.96</v>
      </c>
      <c r="O253">
        <v>4.7619047620000003</v>
      </c>
      <c r="P253">
        <v>37.548000000000002</v>
      </c>
      <c r="Q253">
        <v>8.3000000000000007</v>
      </c>
      <c r="R253" t="s">
        <v>48</v>
      </c>
    </row>
    <row r="254" spans="1:18" x14ac:dyDescent="0.25">
      <c r="A254" t="s">
        <v>501</v>
      </c>
      <c r="B254" t="s">
        <v>23</v>
      </c>
      <c r="C254" t="s">
        <v>24</v>
      </c>
      <c r="D254" t="s">
        <v>25</v>
      </c>
      <c r="E254" t="s">
        <v>313</v>
      </c>
      <c r="F254" t="s">
        <v>40</v>
      </c>
      <c r="G254">
        <v>47.59</v>
      </c>
      <c r="H254">
        <v>8</v>
      </c>
      <c r="I254">
        <v>19.036000000000001</v>
      </c>
      <c r="J254">
        <v>399.75599999999997</v>
      </c>
      <c r="K254" s="9">
        <v>43466</v>
      </c>
      <c r="L254" t="s">
        <v>502</v>
      </c>
      <c r="M254" t="s">
        <v>37</v>
      </c>
      <c r="N254">
        <v>380.72</v>
      </c>
      <c r="O254">
        <v>4.7619047620000003</v>
      </c>
      <c r="P254">
        <v>19.036000000000001</v>
      </c>
      <c r="Q254">
        <v>5.7</v>
      </c>
      <c r="R254" t="s">
        <v>30</v>
      </c>
    </row>
    <row r="255" spans="1:18" x14ac:dyDescent="0.25">
      <c r="A255" t="s">
        <v>503</v>
      </c>
      <c r="B255" t="s">
        <v>58</v>
      </c>
      <c r="C255" t="s">
        <v>59</v>
      </c>
      <c r="D255" t="s">
        <v>25</v>
      </c>
      <c r="E255" t="s">
        <v>26</v>
      </c>
      <c r="F255" t="s">
        <v>35</v>
      </c>
      <c r="G255">
        <v>81.400000000000006</v>
      </c>
      <c r="H255">
        <v>3</v>
      </c>
      <c r="I255">
        <v>12.21</v>
      </c>
      <c r="J255">
        <v>256.41000000000003</v>
      </c>
      <c r="K255" s="9">
        <v>43505</v>
      </c>
      <c r="L255" t="s">
        <v>504</v>
      </c>
      <c r="M255" t="s">
        <v>37</v>
      </c>
      <c r="N255">
        <v>244.2</v>
      </c>
      <c r="O255">
        <v>4.7619047620000003</v>
      </c>
      <c r="P255">
        <v>12.21</v>
      </c>
      <c r="Q255">
        <v>4.8</v>
      </c>
      <c r="R255" t="s">
        <v>48</v>
      </c>
    </row>
    <row r="256" spans="1:18" x14ac:dyDescent="0.25">
      <c r="A256" t="s">
        <v>505</v>
      </c>
      <c r="B256" t="s">
        <v>23</v>
      </c>
      <c r="C256" t="s">
        <v>24</v>
      </c>
      <c r="D256" t="s">
        <v>25</v>
      </c>
      <c r="E256" t="s">
        <v>313</v>
      </c>
      <c r="F256" t="s">
        <v>63</v>
      </c>
      <c r="G256">
        <v>17.940000000000001</v>
      </c>
      <c r="H256">
        <v>5</v>
      </c>
      <c r="I256">
        <v>4.4850000000000003</v>
      </c>
      <c r="J256">
        <v>94.185000000000002</v>
      </c>
      <c r="K256" s="9">
        <v>43488</v>
      </c>
      <c r="L256" t="s">
        <v>506</v>
      </c>
      <c r="M256" t="s">
        <v>29</v>
      </c>
      <c r="N256">
        <v>89.7</v>
      </c>
      <c r="O256">
        <v>4.7619047620000003</v>
      </c>
      <c r="P256">
        <v>4.4850000000000003</v>
      </c>
      <c r="Q256">
        <v>6.8</v>
      </c>
      <c r="R256" t="s">
        <v>30</v>
      </c>
    </row>
    <row r="257" spans="1:18" x14ac:dyDescent="0.25">
      <c r="A257" t="s">
        <v>507</v>
      </c>
      <c r="B257" t="s">
        <v>23</v>
      </c>
      <c r="C257" t="s">
        <v>24</v>
      </c>
      <c r="D257" t="s">
        <v>25</v>
      </c>
      <c r="E257" t="s">
        <v>313</v>
      </c>
      <c r="F257" t="s">
        <v>35</v>
      </c>
      <c r="G257">
        <v>77.72</v>
      </c>
      <c r="H257">
        <v>4</v>
      </c>
      <c r="I257">
        <v>15.544</v>
      </c>
      <c r="J257">
        <v>326.42399999999998</v>
      </c>
      <c r="K257" s="9">
        <v>43472</v>
      </c>
      <c r="L257" t="s">
        <v>508</v>
      </c>
      <c r="M257" t="s">
        <v>42</v>
      </c>
      <c r="N257">
        <v>310.88</v>
      </c>
      <c r="O257">
        <v>4.7619047620000003</v>
      </c>
      <c r="P257">
        <v>15.544</v>
      </c>
      <c r="Q257">
        <v>8.8000000000000007</v>
      </c>
      <c r="R257" t="s">
        <v>30</v>
      </c>
    </row>
    <row r="258" spans="1:18" x14ac:dyDescent="0.25">
      <c r="A258" t="s">
        <v>509</v>
      </c>
      <c r="B258" t="s">
        <v>58</v>
      </c>
      <c r="C258" t="s">
        <v>59</v>
      </c>
      <c r="D258" t="s">
        <v>34</v>
      </c>
      <c r="E258" t="s">
        <v>313</v>
      </c>
      <c r="F258" t="s">
        <v>60</v>
      </c>
      <c r="G258">
        <v>73.06</v>
      </c>
      <c r="H258">
        <v>7</v>
      </c>
      <c r="I258">
        <v>25.571000000000002</v>
      </c>
      <c r="J258">
        <v>536.99099999999999</v>
      </c>
      <c r="K258" s="9">
        <v>43479</v>
      </c>
      <c r="L258" t="s">
        <v>510</v>
      </c>
      <c r="M258" t="s">
        <v>42</v>
      </c>
      <c r="N258">
        <v>511.42</v>
      </c>
      <c r="O258">
        <v>4.7619047620000003</v>
      </c>
      <c r="P258">
        <v>25.571000000000002</v>
      </c>
      <c r="Q258">
        <v>4.2</v>
      </c>
      <c r="R258" t="s">
        <v>30</v>
      </c>
    </row>
    <row r="259" spans="1:18" x14ac:dyDescent="0.25">
      <c r="A259" t="s">
        <v>511</v>
      </c>
      <c r="B259" t="s">
        <v>58</v>
      </c>
      <c r="C259" t="s">
        <v>59</v>
      </c>
      <c r="D259" t="s">
        <v>25</v>
      </c>
      <c r="E259" t="s">
        <v>313</v>
      </c>
      <c r="F259" t="s">
        <v>60</v>
      </c>
      <c r="G259">
        <v>46.55</v>
      </c>
      <c r="H259">
        <v>9</v>
      </c>
      <c r="I259">
        <v>20.947500000000002</v>
      </c>
      <c r="J259">
        <v>439.89749999999998</v>
      </c>
      <c r="K259" s="9">
        <v>43498</v>
      </c>
      <c r="L259" t="s">
        <v>512</v>
      </c>
      <c r="M259" t="s">
        <v>29</v>
      </c>
      <c r="N259">
        <v>418.95</v>
      </c>
      <c r="O259">
        <v>4.7619047620000003</v>
      </c>
      <c r="P259">
        <v>20.947500000000002</v>
      </c>
      <c r="Q259">
        <v>6.4</v>
      </c>
      <c r="R259" t="s">
        <v>48</v>
      </c>
    </row>
    <row r="260" spans="1:18" x14ac:dyDescent="0.25">
      <c r="A260" t="s">
        <v>513</v>
      </c>
      <c r="B260" t="s">
        <v>32</v>
      </c>
      <c r="C260" t="s">
        <v>33</v>
      </c>
      <c r="D260" t="s">
        <v>25</v>
      </c>
      <c r="E260" t="s">
        <v>313</v>
      </c>
      <c r="F260" t="s">
        <v>63</v>
      </c>
      <c r="G260">
        <v>35.19</v>
      </c>
      <c r="H260">
        <v>10</v>
      </c>
      <c r="I260">
        <v>17.594999999999999</v>
      </c>
      <c r="J260">
        <v>369.495</v>
      </c>
      <c r="K260" s="9">
        <v>43541</v>
      </c>
      <c r="L260" t="s">
        <v>510</v>
      </c>
      <c r="M260" t="s">
        <v>42</v>
      </c>
      <c r="N260">
        <v>351.9</v>
      </c>
      <c r="O260">
        <v>4.7619047620000003</v>
      </c>
      <c r="P260">
        <v>17.594999999999999</v>
      </c>
      <c r="Q260">
        <v>8.4</v>
      </c>
      <c r="R260" t="s">
        <v>38</v>
      </c>
    </row>
    <row r="261" spans="1:18" x14ac:dyDescent="0.25">
      <c r="A261" t="s">
        <v>514</v>
      </c>
      <c r="B261" t="s">
        <v>32</v>
      </c>
      <c r="C261" t="s">
        <v>33</v>
      </c>
      <c r="D261" t="s">
        <v>34</v>
      </c>
      <c r="E261" t="s">
        <v>26</v>
      </c>
      <c r="F261" t="s">
        <v>46</v>
      </c>
      <c r="G261">
        <v>14.39</v>
      </c>
      <c r="H261">
        <v>2</v>
      </c>
      <c r="I261">
        <v>1.4390000000000001</v>
      </c>
      <c r="J261">
        <v>30.219000000000001</v>
      </c>
      <c r="K261" s="9">
        <v>43526</v>
      </c>
      <c r="L261" t="s">
        <v>350</v>
      </c>
      <c r="M261" t="s">
        <v>42</v>
      </c>
      <c r="N261">
        <v>28.78</v>
      </c>
      <c r="O261">
        <v>4.7619047620000003</v>
      </c>
      <c r="P261">
        <v>1.4390000000000001</v>
      </c>
      <c r="Q261">
        <v>7.2</v>
      </c>
      <c r="R261" t="s">
        <v>38</v>
      </c>
    </row>
    <row r="262" spans="1:18" x14ac:dyDescent="0.25">
      <c r="A262" t="s">
        <v>515</v>
      </c>
      <c r="B262" t="s">
        <v>23</v>
      </c>
      <c r="C262" t="s">
        <v>24</v>
      </c>
      <c r="D262" t="s">
        <v>34</v>
      </c>
      <c r="E262" t="s">
        <v>313</v>
      </c>
      <c r="F262" t="s">
        <v>40</v>
      </c>
      <c r="G262">
        <v>23.75</v>
      </c>
      <c r="H262">
        <v>4</v>
      </c>
      <c r="I262">
        <v>4.75</v>
      </c>
      <c r="J262">
        <v>99.75</v>
      </c>
      <c r="K262" s="9">
        <v>43540</v>
      </c>
      <c r="L262" t="s">
        <v>516</v>
      </c>
      <c r="M262" t="s">
        <v>37</v>
      </c>
      <c r="N262">
        <v>95</v>
      </c>
      <c r="O262">
        <v>4.7619047620000003</v>
      </c>
      <c r="P262">
        <v>4.75</v>
      </c>
      <c r="Q262">
        <v>5.2</v>
      </c>
      <c r="R262" t="s">
        <v>38</v>
      </c>
    </row>
    <row r="263" spans="1:18" x14ac:dyDescent="0.25">
      <c r="A263" t="s">
        <v>517</v>
      </c>
      <c r="B263" t="s">
        <v>23</v>
      </c>
      <c r="C263" t="s">
        <v>24</v>
      </c>
      <c r="D263" t="s">
        <v>25</v>
      </c>
      <c r="E263" t="s">
        <v>313</v>
      </c>
      <c r="F263" t="s">
        <v>40</v>
      </c>
      <c r="G263">
        <v>58.9</v>
      </c>
      <c r="H263">
        <v>8</v>
      </c>
      <c r="I263">
        <v>23.56</v>
      </c>
      <c r="J263">
        <v>494.76</v>
      </c>
      <c r="K263" s="9">
        <v>43471</v>
      </c>
      <c r="L263" t="s">
        <v>518</v>
      </c>
      <c r="M263" t="s">
        <v>37</v>
      </c>
      <c r="N263">
        <v>471.2</v>
      </c>
      <c r="O263">
        <v>4.7619047620000003</v>
      </c>
      <c r="P263">
        <v>23.56</v>
      </c>
      <c r="Q263">
        <v>8.9</v>
      </c>
      <c r="R263" t="s">
        <v>30</v>
      </c>
    </row>
    <row r="264" spans="1:18" x14ac:dyDescent="0.25">
      <c r="A264" t="s">
        <v>519</v>
      </c>
      <c r="B264" t="s">
        <v>58</v>
      </c>
      <c r="C264" t="s">
        <v>59</v>
      </c>
      <c r="D264" t="s">
        <v>25</v>
      </c>
      <c r="E264" t="s">
        <v>313</v>
      </c>
      <c r="F264" t="s">
        <v>63</v>
      </c>
      <c r="G264">
        <v>32.619999999999997</v>
      </c>
      <c r="H264">
        <v>4</v>
      </c>
      <c r="I264">
        <v>6.524</v>
      </c>
      <c r="J264">
        <v>137.00399999999999</v>
      </c>
      <c r="K264" s="9">
        <v>43494</v>
      </c>
      <c r="L264" t="s">
        <v>356</v>
      </c>
      <c r="M264" t="s">
        <v>37</v>
      </c>
      <c r="N264">
        <v>130.47999999999999</v>
      </c>
      <c r="O264">
        <v>4.7619047620000003</v>
      </c>
      <c r="P264">
        <v>6.524</v>
      </c>
      <c r="Q264">
        <v>9</v>
      </c>
      <c r="R264" t="s">
        <v>30</v>
      </c>
    </row>
    <row r="265" spans="1:18" x14ac:dyDescent="0.25">
      <c r="A265" t="s">
        <v>520</v>
      </c>
      <c r="B265" t="s">
        <v>23</v>
      </c>
      <c r="C265" t="s">
        <v>24</v>
      </c>
      <c r="D265" t="s">
        <v>25</v>
      </c>
      <c r="E265" t="s">
        <v>313</v>
      </c>
      <c r="F265" t="s">
        <v>35</v>
      </c>
      <c r="G265">
        <v>66.349999999999994</v>
      </c>
      <c r="H265">
        <v>1</v>
      </c>
      <c r="I265">
        <v>3.3174999999999999</v>
      </c>
      <c r="J265">
        <v>69.667500000000004</v>
      </c>
      <c r="K265" s="9">
        <v>43496</v>
      </c>
      <c r="L265" t="s">
        <v>521</v>
      </c>
      <c r="M265" t="s">
        <v>42</v>
      </c>
      <c r="N265">
        <v>66.349999999999994</v>
      </c>
      <c r="O265">
        <v>4.7619047620000003</v>
      </c>
      <c r="P265">
        <v>3.3174999999999999</v>
      </c>
      <c r="Q265">
        <v>9.6999999999999993</v>
      </c>
      <c r="R265" t="s">
        <v>30</v>
      </c>
    </row>
    <row r="266" spans="1:18" x14ac:dyDescent="0.25">
      <c r="A266" t="s">
        <v>522</v>
      </c>
      <c r="B266" t="s">
        <v>23</v>
      </c>
      <c r="C266" t="s">
        <v>24</v>
      </c>
      <c r="D266" t="s">
        <v>25</v>
      </c>
      <c r="E266" t="s">
        <v>313</v>
      </c>
      <c r="F266" t="s">
        <v>40</v>
      </c>
      <c r="G266">
        <v>25.91</v>
      </c>
      <c r="H266">
        <v>6</v>
      </c>
      <c r="I266">
        <v>7.7729999999999997</v>
      </c>
      <c r="J266">
        <v>163.233</v>
      </c>
      <c r="K266" s="9">
        <v>43501</v>
      </c>
      <c r="L266" t="s">
        <v>233</v>
      </c>
      <c r="M266" t="s">
        <v>29</v>
      </c>
      <c r="N266">
        <v>155.46</v>
      </c>
      <c r="O266">
        <v>4.7619047620000003</v>
      </c>
      <c r="P266">
        <v>7.7729999999999997</v>
      </c>
      <c r="Q266">
        <v>8.6999999999999993</v>
      </c>
      <c r="R266" t="s">
        <v>48</v>
      </c>
    </row>
    <row r="267" spans="1:18" x14ac:dyDescent="0.25">
      <c r="A267" t="s">
        <v>523</v>
      </c>
      <c r="B267" t="s">
        <v>23</v>
      </c>
      <c r="C267" t="s">
        <v>24</v>
      </c>
      <c r="D267" t="s">
        <v>25</v>
      </c>
      <c r="E267" t="s">
        <v>313</v>
      </c>
      <c r="F267" t="s">
        <v>35</v>
      </c>
      <c r="G267">
        <v>32.25</v>
      </c>
      <c r="H267">
        <v>4</v>
      </c>
      <c r="I267">
        <v>6.45</v>
      </c>
      <c r="J267">
        <v>135.44999999999999</v>
      </c>
      <c r="K267" s="9">
        <v>43509</v>
      </c>
      <c r="L267" t="s">
        <v>460</v>
      </c>
      <c r="M267" t="s">
        <v>29</v>
      </c>
      <c r="N267">
        <v>129</v>
      </c>
      <c r="O267">
        <v>4.7619047620000003</v>
      </c>
      <c r="P267">
        <v>6.45</v>
      </c>
      <c r="Q267">
        <v>6.5</v>
      </c>
      <c r="R267" t="s">
        <v>48</v>
      </c>
    </row>
    <row r="268" spans="1:18" x14ac:dyDescent="0.25">
      <c r="A268" t="s">
        <v>524</v>
      </c>
      <c r="B268" t="s">
        <v>32</v>
      </c>
      <c r="C268" t="s">
        <v>33</v>
      </c>
      <c r="D268" t="s">
        <v>25</v>
      </c>
      <c r="E268" t="s">
        <v>313</v>
      </c>
      <c r="F268" t="s">
        <v>35</v>
      </c>
      <c r="G268">
        <v>65.94</v>
      </c>
      <c r="H268">
        <v>4</v>
      </c>
      <c r="I268">
        <v>13.188000000000001</v>
      </c>
      <c r="J268">
        <v>276.94799999999998</v>
      </c>
      <c r="K268" s="9">
        <v>43503</v>
      </c>
      <c r="L268" t="s">
        <v>336</v>
      </c>
      <c r="M268" t="s">
        <v>42</v>
      </c>
      <c r="N268">
        <v>263.76</v>
      </c>
      <c r="O268">
        <v>4.7619047620000003</v>
      </c>
      <c r="P268">
        <v>13.188000000000001</v>
      </c>
      <c r="Q268">
        <v>6.9</v>
      </c>
      <c r="R268" t="s">
        <v>48</v>
      </c>
    </row>
    <row r="269" spans="1:18" x14ac:dyDescent="0.25">
      <c r="A269" t="s">
        <v>525</v>
      </c>
      <c r="B269" t="s">
        <v>23</v>
      </c>
      <c r="C269" t="s">
        <v>24</v>
      </c>
      <c r="D269" t="s">
        <v>34</v>
      </c>
      <c r="E269" t="s">
        <v>26</v>
      </c>
      <c r="F269" t="s">
        <v>35</v>
      </c>
      <c r="G269">
        <v>75.06</v>
      </c>
      <c r="H269">
        <v>9</v>
      </c>
      <c r="I269">
        <v>33.777000000000001</v>
      </c>
      <c r="J269">
        <v>709.31700000000001</v>
      </c>
      <c r="K269" s="9">
        <v>43543</v>
      </c>
      <c r="L269" t="s">
        <v>526</v>
      </c>
      <c r="M269" t="s">
        <v>29</v>
      </c>
      <c r="N269">
        <v>675.54</v>
      </c>
      <c r="O269">
        <v>4.7619047620000003</v>
      </c>
      <c r="P269">
        <v>33.777000000000001</v>
      </c>
      <c r="Q269">
        <v>6.2</v>
      </c>
      <c r="R269" t="s">
        <v>38</v>
      </c>
    </row>
    <row r="270" spans="1:18" x14ac:dyDescent="0.25">
      <c r="A270" t="s">
        <v>527</v>
      </c>
      <c r="B270" t="s">
        <v>32</v>
      </c>
      <c r="C270" t="s">
        <v>33</v>
      </c>
      <c r="D270" t="s">
        <v>34</v>
      </c>
      <c r="E270" t="s">
        <v>26</v>
      </c>
      <c r="F270" t="s">
        <v>63</v>
      </c>
      <c r="G270">
        <v>16.45</v>
      </c>
      <c r="H270">
        <v>4</v>
      </c>
      <c r="I270">
        <v>3.29</v>
      </c>
      <c r="J270">
        <v>69.09</v>
      </c>
      <c r="K270" s="9">
        <v>43531</v>
      </c>
      <c r="L270" t="s">
        <v>528</v>
      </c>
      <c r="M270" t="s">
        <v>29</v>
      </c>
      <c r="N270">
        <v>65.8</v>
      </c>
      <c r="O270">
        <v>4.7619047620000003</v>
      </c>
      <c r="P270">
        <v>3.29</v>
      </c>
      <c r="Q270">
        <v>5.6</v>
      </c>
      <c r="R270" t="s">
        <v>38</v>
      </c>
    </row>
    <row r="271" spans="1:18" x14ac:dyDescent="0.25">
      <c r="A271" t="s">
        <v>529</v>
      </c>
      <c r="B271" t="s">
        <v>58</v>
      </c>
      <c r="C271" t="s">
        <v>59</v>
      </c>
      <c r="D271" t="s">
        <v>25</v>
      </c>
      <c r="E271" t="s">
        <v>26</v>
      </c>
      <c r="F271" t="s">
        <v>63</v>
      </c>
      <c r="G271">
        <v>38.299999999999997</v>
      </c>
      <c r="H271">
        <v>4</v>
      </c>
      <c r="I271">
        <v>7.66</v>
      </c>
      <c r="J271">
        <v>160.86000000000001</v>
      </c>
      <c r="K271" s="9">
        <v>43537</v>
      </c>
      <c r="L271" t="s">
        <v>530</v>
      </c>
      <c r="M271" t="s">
        <v>37</v>
      </c>
      <c r="N271">
        <v>153.19999999999999</v>
      </c>
      <c r="O271">
        <v>4.7619047620000003</v>
      </c>
      <c r="P271">
        <v>7.66</v>
      </c>
      <c r="Q271">
        <v>5.7</v>
      </c>
      <c r="R271" t="s">
        <v>38</v>
      </c>
    </row>
    <row r="272" spans="1:18" x14ac:dyDescent="0.25">
      <c r="A272" t="s">
        <v>531</v>
      </c>
      <c r="B272" t="s">
        <v>23</v>
      </c>
      <c r="C272" t="s">
        <v>24</v>
      </c>
      <c r="D272" t="s">
        <v>25</v>
      </c>
      <c r="E272" t="s">
        <v>26</v>
      </c>
      <c r="F272" t="s">
        <v>46</v>
      </c>
      <c r="G272">
        <v>22.24</v>
      </c>
      <c r="H272">
        <v>10</v>
      </c>
      <c r="I272">
        <v>11.12</v>
      </c>
      <c r="J272">
        <v>233.52</v>
      </c>
      <c r="K272" s="9">
        <v>43505</v>
      </c>
      <c r="L272" t="s">
        <v>532</v>
      </c>
      <c r="M272" t="s">
        <v>37</v>
      </c>
      <c r="N272">
        <v>222.4</v>
      </c>
      <c r="O272">
        <v>4.7619047620000003</v>
      </c>
      <c r="P272">
        <v>11.12</v>
      </c>
      <c r="Q272">
        <v>4.2</v>
      </c>
      <c r="R272" t="s">
        <v>48</v>
      </c>
    </row>
    <row r="273" spans="1:18" x14ac:dyDescent="0.25">
      <c r="A273" t="s">
        <v>533</v>
      </c>
      <c r="B273" t="s">
        <v>58</v>
      </c>
      <c r="C273" t="s">
        <v>59</v>
      </c>
      <c r="D273" t="s">
        <v>34</v>
      </c>
      <c r="E273" t="s">
        <v>313</v>
      </c>
      <c r="F273" t="s">
        <v>46</v>
      </c>
      <c r="G273">
        <v>54.45</v>
      </c>
      <c r="H273">
        <v>1</v>
      </c>
      <c r="I273">
        <v>2.7225000000000001</v>
      </c>
      <c r="J273">
        <v>57.172499999999999</v>
      </c>
      <c r="K273" s="9">
        <v>43522</v>
      </c>
      <c r="L273" t="s">
        <v>534</v>
      </c>
      <c r="M273" t="s">
        <v>29</v>
      </c>
      <c r="N273">
        <v>54.45</v>
      </c>
      <c r="O273">
        <v>4.7619047620000003</v>
      </c>
      <c r="P273">
        <v>2.7225000000000001</v>
      </c>
      <c r="Q273">
        <v>7.9</v>
      </c>
      <c r="R273" t="s">
        <v>48</v>
      </c>
    </row>
    <row r="274" spans="1:18" x14ac:dyDescent="0.25">
      <c r="A274" t="s">
        <v>535</v>
      </c>
      <c r="B274" t="s">
        <v>23</v>
      </c>
      <c r="C274" t="s">
        <v>24</v>
      </c>
      <c r="D274" t="s">
        <v>25</v>
      </c>
      <c r="E274" t="s">
        <v>26</v>
      </c>
      <c r="F274" t="s">
        <v>46</v>
      </c>
      <c r="G274">
        <v>98.4</v>
      </c>
      <c r="H274">
        <v>7</v>
      </c>
      <c r="I274">
        <v>34.44</v>
      </c>
      <c r="J274">
        <v>723.24</v>
      </c>
      <c r="K274" s="9">
        <v>43536</v>
      </c>
      <c r="L274" t="s">
        <v>106</v>
      </c>
      <c r="M274" t="s">
        <v>42</v>
      </c>
      <c r="N274">
        <v>688.8</v>
      </c>
      <c r="O274">
        <v>4.7619047620000003</v>
      </c>
      <c r="P274">
        <v>34.44</v>
      </c>
      <c r="Q274">
        <v>8.6999999999999993</v>
      </c>
      <c r="R274" t="s">
        <v>38</v>
      </c>
    </row>
    <row r="275" spans="1:18" x14ac:dyDescent="0.25">
      <c r="A275" t="s">
        <v>536</v>
      </c>
      <c r="B275" t="s">
        <v>32</v>
      </c>
      <c r="C275" t="s">
        <v>33</v>
      </c>
      <c r="D275" t="s">
        <v>34</v>
      </c>
      <c r="E275" t="s">
        <v>313</v>
      </c>
      <c r="F275" t="s">
        <v>40</v>
      </c>
      <c r="G275">
        <v>35.47</v>
      </c>
      <c r="H275">
        <v>4</v>
      </c>
      <c r="I275">
        <v>7.0940000000000003</v>
      </c>
      <c r="J275">
        <v>148.97399999999999</v>
      </c>
      <c r="K275" s="9">
        <v>43538</v>
      </c>
      <c r="L275" t="s">
        <v>537</v>
      </c>
      <c r="M275" t="s">
        <v>42</v>
      </c>
      <c r="N275">
        <v>141.88</v>
      </c>
      <c r="O275">
        <v>4.7619047620000003</v>
      </c>
      <c r="P275">
        <v>7.0940000000000003</v>
      </c>
      <c r="Q275">
        <v>6.9</v>
      </c>
      <c r="R275" t="s">
        <v>38</v>
      </c>
    </row>
    <row r="276" spans="1:18" x14ac:dyDescent="0.25">
      <c r="A276" t="s">
        <v>538</v>
      </c>
      <c r="B276" t="s">
        <v>58</v>
      </c>
      <c r="C276" t="s">
        <v>59</v>
      </c>
      <c r="D276" t="s">
        <v>25</v>
      </c>
      <c r="E276" t="s">
        <v>26</v>
      </c>
      <c r="F276" t="s">
        <v>60</v>
      </c>
      <c r="G276">
        <v>74.599999999999994</v>
      </c>
      <c r="H276">
        <v>10</v>
      </c>
      <c r="I276">
        <v>37.299999999999997</v>
      </c>
      <c r="J276">
        <v>783.3</v>
      </c>
      <c r="K276" s="9">
        <v>43473</v>
      </c>
      <c r="L276" t="s">
        <v>539</v>
      </c>
      <c r="M276" t="s">
        <v>37</v>
      </c>
      <c r="N276">
        <v>746</v>
      </c>
      <c r="O276">
        <v>4.7619047620000003</v>
      </c>
      <c r="P276">
        <v>37.299999999999997</v>
      </c>
      <c r="Q276">
        <v>9.5</v>
      </c>
      <c r="R276" t="s">
        <v>30</v>
      </c>
    </row>
    <row r="277" spans="1:18" x14ac:dyDescent="0.25">
      <c r="A277" t="s">
        <v>540</v>
      </c>
      <c r="B277" t="s">
        <v>23</v>
      </c>
      <c r="C277" t="s">
        <v>24</v>
      </c>
      <c r="D277" t="s">
        <v>25</v>
      </c>
      <c r="E277" t="s">
        <v>313</v>
      </c>
      <c r="F277" t="s">
        <v>40</v>
      </c>
      <c r="G277">
        <v>70.739999999999995</v>
      </c>
      <c r="H277">
        <v>4</v>
      </c>
      <c r="I277">
        <v>14.148</v>
      </c>
      <c r="J277">
        <v>297.108</v>
      </c>
      <c r="K277" s="9">
        <v>43470</v>
      </c>
      <c r="L277" t="s">
        <v>541</v>
      </c>
      <c r="M277" t="s">
        <v>42</v>
      </c>
      <c r="N277">
        <v>282.95999999999998</v>
      </c>
      <c r="O277">
        <v>4.7619047620000003</v>
      </c>
      <c r="P277">
        <v>14.148</v>
      </c>
      <c r="Q277">
        <v>4.4000000000000004</v>
      </c>
      <c r="R277" t="s">
        <v>30</v>
      </c>
    </row>
    <row r="278" spans="1:18" x14ac:dyDescent="0.25">
      <c r="A278" t="s">
        <v>542</v>
      </c>
      <c r="B278" t="s">
        <v>23</v>
      </c>
      <c r="C278" t="s">
        <v>24</v>
      </c>
      <c r="D278" t="s">
        <v>25</v>
      </c>
      <c r="E278" t="s">
        <v>26</v>
      </c>
      <c r="F278" t="s">
        <v>40</v>
      </c>
      <c r="G278">
        <v>35.54</v>
      </c>
      <c r="H278">
        <v>10</v>
      </c>
      <c r="I278">
        <v>17.77</v>
      </c>
      <c r="J278">
        <v>373.17</v>
      </c>
      <c r="K278" s="9">
        <v>43469</v>
      </c>
      <c r="L278" t="s">
        <v>543</v>
      </c>
      <c r="M278" t="s">
        <v>29</v>
      </c>
      <c r="N278">
        <v>355.4</v>
      </c>
      <c r="O278">
        <v>4.7619047620000003</v>
      </c>
      <c r="P278">
        <v>17.77</v>
      </c>
      <c r="Q278">
        <v>7</v>
      </c>
      <c r="R278" t="s">
        <v>30</v>
      </c>
    </row>
    <row r="279" spans="1:18" x14ac:dyDescent="0.25">
      <c r="A279" t="s">
        <v>544</v>
      </c>
      <c r="B279" t="s">
        <v>58</v>
      </c>
      <c r="C279" t="s">
        <v>59</v>
      </c>
      <c r="D279" t="s">
        <v>34</v>
      </c>
      <c r="E279" t="s">
        <v>26</v>
      </c>
      <c r="F279" t="s">
        <v>46</v>
      </c>
      <c r="G279">
        <v>67.430000000000007</v>
      </c>
      <c r="H279">
        <v>5</v>
      </c>
      <c r="I279">
        <v>16.857500000000002</v>
      </c>
      <c r="J279">
        <v>354.00749999999999</v>
      </c>
      <c r="K279" s="9">
        <v>43530</v>
      </c>
      <c r="L279" t="s">
        <v>545</v>
      </c>
      <c r="M279" t="s">
        <v>29</v>
      </c>
      <c r="N279">
        <v>337.15</v>
      </c>
      <c r="O279">
        <v>4.7619047620000003</v>
      </c>
      <c r="P279">
        <v>16.857500000000002</v>
      </c>
      <c r="Q279">
        <v>6.3</v>
      </c>
      <c r="R279" t="s">
        <v>38</v>
      </c>
    </row>
    <row r="280" spans="1:18" x14ac:dyDescent="0.25">
      <c r="A280" t="s">
        <v>546</v>
      </c>
      <c r="B280" t="s">
        <v>32</v>
      </c>
      <c r="C280" t="s">
        <v>33</v>
      </c>
      <c r="D280" t="s">
        <v>25</v>
      </c>
      <c r="E280" t="s">
        <v>26</v>
      </c>
      <c r="F280" t="s">
        <v>27</v>
      </c>
      <c r="G280">
        <v>21.12</v>
      </c>
      <c r="H280">
        <v>2</v>
      </c>
      <c r="I280">
        <v>2.1120000000000001</v>
      </c>
      <c r="J280">
        <v>44.351999999999997</v>
      </c>
      <c r="K280" s="9">
        <v>43468</v>
      </c>
      <c r="L280" t="s">
        <v>368</v>
      </c>
      <c r="M280" t="s">
        <v>37</v>
      </c>
      <c r="N280">
        <v>42.24</v>
      </c>
      <c r="O280">
        <v>4.7619047620000003</v>
      </c>
      <c r="P280">
        <v>2.1120000000000001</v>
      </c>
      <c r="Q280">
        <v>9.6999999999999993</v>
      </c>
      <c r="R280" t="s">
        <v>30</v>
      </c>
    </row>
    <row r="281" spans="1:18" x14ac:dyDescent="0.25">
      <c r="A281" t="s">
        <v>547</v>
      </c>
      <c r="B281" t="s">
        <v>23</v>
      </c>
      <c r="C281" t="s">
        <v>24</v>
      </c>
      <c r="D281" t="s">
        <v>25</v>
      </c>
      <c r="E281" t="s">
        <v>26</v>
      </c>
      <c r="F281" t="s">
        <v>40</v>
      </c>
      <c r="G281">
        <v>21.54</v>
      </c>
      <c r="H281">
        <v>9</v>
      </c>
      <c r="I281">
        <v>9.6929999999999996</v>
      </c>
      <c r="J281">
        <v>203.553</v>
      </c>
      <c r="K281" s="9">
        <v>43472</v>
      </c>
      <c r="L281" t="s">
        <v>548</v>
      </c>
      <c r="M281" t="s">
        <v>42</v>
      </c>
      <c r="N281">
        <v>193.86</v>
      </c>
      <c r="O281">
        <v>4.7619047620000003</v>
      </c>
      <c r="P281">
        <v>9.6929999999999996</v>
      </c>
      <c r="Q281">
        <v>8.8000000000000007</v>
      </c>
      <c r="R281" t="s">
        <v>30</v>
      </c>
    </row>
    <row r="282" spans="1:18" x14ac:dyDescent="0.25">
      <c r="A282" t="s">
        <v>549</v>
      </c>
      <c r="B282" t="s">
        <v>23</v>
      </c>
      <c r="C282" t="s">
        <v>24</v>
      </c>
      <c r="D282" t="s">
        <v>34</v>
      </c>
      <c r="E282" t="s">
        <v>26</v>
      </c>
      <c r="F282" t="s">
        <v>40</v>
      </c>
      <c r="G282">
        <v>12.03</v>
      </c>
      <c r="H282">
        <v>2</v>
      </c>
      <c r="I282">
        <v>1.2030000000000001</v>
      </c>
      <c r="J282">
        <v>25.263000000000002</v>
      </c>
      <c r="K282" s="9">
        <v>43492</v>
      </c>
      <c r="L282" t="s">
        <v>550</v>
      </c>
      <c r="M282" t="s">
        <v>37</v>
      </c>
      <c r="N282">
        <v>24.06</v>
      </c>
      <c r="O282">
        <v>4.7619047620000003</v>
      </c>
      <c r="P282">
        <v>1.2030000000000001</v>
      </c>
      <c r="Q282">
        <v>5.0999999999999996</v>
      </c>
      <c r="R282" t="s">
        <v>30</v>
      </c>
    </row>
    <row r="283" spans="1:18" x14ac:dyDescent="0.25">
      <c r="A283" t="s">
        <v>551</v>
      </c>
      <c r="B283" t="s">
        <v>58</v>
      </c>
      <c r="C283" t="s">
        <v>59</v>
      </c>
      <c r="D283" t="s">
        <v>34</v>
      </c>
      <c r="E283" t="s">
        <v>26</v>
      </c>
      <c r="F283" t="s">
        <v>27</v>
      </c>
      <c r="G283">
        <v>99.71</v>
      </c>
      <c r="H283">
        <v>6</v>
      </c>
      <c r="I283">
        <v>29.913</v>
      </c>
      <c r="J283">
        <v>628.173</v>
      </c>
      <c r="K283" s="9">
        <v>43522</v>
      </c>
      <c r="L283" t="s">
        <v>552</v>
      </c>
      <c r="M283" t="s">
        <v>29</v>
      </c>
      <c r="N283">
        <v>598.26</v>
      </c>
      <c r="O283">
        <v>4.7619047620000003</v>
      </c>
      <c r="P283">
        <v>29.913</v>
      </c>
      <c r="Q283">
        <v>7.9</v>
      </c>
      <c r="R283" t="s">
        <v>48</v>
      </c>
    </row>
    <row r="284" spans="1:18" x14ac:dyDescent="0.25">
      <c r="A284" t="s">
        <v>553</v>
      </c>
      <c r="B284" t="s">
        <v>58</v>
      </c>
      <c r="C284" t="s">
        <v>59</v>
      </c>
      <c r="D284" t="s">
        <v>34</v>
      </c>
      <c r="E284" t="s">
        <v>313</v>
      </c>
      <c r="F284" t="s">
        <v>63</v>
      </c>
      <c r="G284">
        <v>47.97</v>
      </c>
      <c r="H284">
        <v>7</v>
      </c>
      <c r="I284">
        <v>16.7895</v>
      </c>
      <c r="J284">
        <v>352.5795</v>
      </c>
      <c r="K284" s="9">
        <v>43472</v>
      </c>
      <c r="L284" t="s">
        <v>554</v>
      </c>
      <c r="M284" t="s">
        <v>37</v>
      </c>
      <c r="N284">
        <v>335.79</v>
      </c>
      <c r="O284">
        <v>4.7619047620000003</v>
      </c>
      <c r="P284">
        <v>16.7895</v>
      </c>
      <c r="Q284">
        <v>6.2</v>
      </c>
      <c r="R284" t="s">
        <v>30</v>
      </c>
    </row>
    <row r="285" spans="1:18" x14ac:dyDescent="0.25">
      <c r="A285" t="s">
        <v>555</v>
      </c>
      <c r="B285" t="s">
        <v>32</v>
      </c>
      <c r="C285" t="s">
        <v>33</v>
      </c>
      <c r="D285" t="s">
        <v>25</v>
      </c>
      <c r="E285" t="s">
        <v>26</v>
      </c>
      <c r="F285" t="s">
        <v>40</v>
      </c>
      <c r="G285">
        <v>21.82</v>
      </c>
      <c r="H285">
        <v>10</v>
      </c>
      <c r="I285">
        <v>10.91</v>
      </c>
      <c r="J285">
        <v>229.11</v>
      </c>
      <c r="K285" s="9">
        <v>43472</v>
      </c>
      <c r="L285" t="s">
        <v>92</v>
      </c>
      <c r="M285" t="s">
        <v>37</v>
      </c>
      <c r="N285">
        <v>218.2</v>
      </c>
      <c r="O285">
        <v>4.7619047620000003</v>
      </c>
      <c r="P285">
        <v>10.91</v>
      </c>
      <c r="Q285">
        <v>7.1</v>
      </c>
      <c r="R285" t="s">
        <v>30</v>
      </c>
    </row>
    <row r="286" spans="1:18" x14ac:dyDescent="0.25">
      <c r="A286" t="s">
        <v>556</v>
      </c>
      <c r="B286" t="s">
        <v>32</v>
      </c>
      <c r="C286" t="s">
        <v>33</v>
      </c>
      <c r="D286" t="s">
        <v>34</v>
      </c>
      <c r="E286" t="s">
        <v>26</v>
      </c>
      <c r="F286" t="s">
        <v>63</v>
      </c>
      <c r="G286">
        <v>95.42</v>
      </c>
      <c r="H286">
        <v>4</v>
      </c>
      <c r="I286">
        <v>19.084</v>
      </c>
      <c r="J286">
        <v>400.76400000000001</v>
      </c>
      <c r="K286" s="9">
        <v>43498</v>
      </c>
      <c r="L286" t="s">
        <v>41</v>
      </c>
      <c r="M286" t="s">
        <v>29</v>
      </c>
      <c r="N286">
        <v>381.68</v>
      </c>
      <c r="O286">
        <v>4.7619047620000003</v>
      </c>
      <c r="P286">
        <v>19.084</v>
      </c>
      <c r="Q286">
        <v>6.4</v>
      </c>
      <c r="R286" t="s">
        <v>48</v>
      </c>
    </row>
    <row r="287" spans="1:18" x14ac:dyDescent="0.25">
      <c r="A287" t="s">
        <v>557</v>
      </c>
      <c r="B287" t="s">
        <v>32</v>
      </c>
      <c r="C287" t="s">
        <v>33</v>
      </c>
      <c r="D287" t="s">
        <v>25</v>
      </c>
      <c r="E287" t="s">
        <v>313</v>
      </c>
      <c r="F287" t="s">
        <v>63</v>
      </c>
      <c r="G287">
        <v>70.989999999999995</v>
      </c>
      <c r="H287">
        <v>10</v>
      </c>
      <c r="I287">
        <v>35.494999999999997</v>
      </c>
      <c r="J287">
        <v>745.39499999999998</v>
      </c>
      <c r="K287" s="9">
        <v>43544</v>
      </c>
      <c r="L287" t="s">
        <v>558</v>
      </c>
      <c r="M287" t="s">
        <v>37</v>
      </c>
      <c r="N287">
        <v>709.9</v>
      </c>
      <c r="O287">
        <v>4.7619047620000003</v>
      </c>
      <c r="P287">
        <v>35.494999999999997</v>
      </c>
      <c r="Q287">
        <v>5.7</v>
      </c>
      <c r="R287" t="s">
        <v>38</v>
      </c>
    </row>
    <row r="288" spans="1:18" x14ac:dyDescent="0.25">
      <c r="A288" t="s">
        <v>559</v>
      </c>
      <c r="B288" t="s">
        <v>23</v>
      </c>
      <c r="C288" t="s">
        <v>24</v>
      </c>
      <c r="D288" t="s">
        <v>25</v>
      </c>
      <c r="E288" t="s">
        <v>313</v>
      </c>
      <c r="F288" t="s">
        <v>46</v>
      </c>
      <c r="G288">
        <v>44.02</v>
      </c>
      <c r="H288">
        <v>10</v>
      </c>
      <c r="I288">
        <v>22.01</v>
      </c>
      <c r="J288">
        <v>462.21</v>
      </c>
      <c r="K288" s="9">
        <v>43544</v>
      </c>
      <c r="L288" t="s">
        <v>316</v>
      </c>
      <c r="M288" t="s">
        <v>42</v>
      </c>
      <c r="N288">
        <v>440.2</v>
      </c>
      <c r="O288">
        <v>4.7619047620000003</v>
      </c>
      <c r="P288">
        <v>22.01</v>
      </c>
      <c r="Q288">
        <v>9.6</v>
      </c>
      <c r="R288" t="s">
        <v>38</v>
      </c>
    </row>
    <row r="289" spans="1:18" x14ac:dyDescent="0.25">
      <c r="A289" t="s">
        <v>560</v>
      </c>
      <c r="B289" t="s">
        <v>23</v>
      </c>
      <c r="C289" t="s">
        <v>24</v>
      </c>
      <c r="D289" t="s">
        <v>34</v>
      </c>
      <c r="E289" t="s">
        <v>26</v>
      </c>
      <c r="F289" t="s">
        <v>40</v>
      </c>
      <c r="G289">
        <v>69.959999999999994</v>
      </c>
      <c r="H289">
        <v>8</v>
      </c>
      <c r="I289">
        <v>27.984000000000002</v>
      </c>
      <c r="J289">
        <v>587.66399999999999</v>
      </c>
      <c r="K289" s="9">
        <v>43511</v>
      </c>
      <c r="L289" t="s">
        <v>375</v>
      </c>
      <c r="M289" t="s">
        <v>42</v>
      </c>
      <c r="N289">
        <v>559.67999999999995</v>
      </c>
      <c r="O289">
        <v>4.7619047620000003</v>
      </c>
      <c r="P289">
        <v>27.984000000000002</v>
      </c>
      <c r="Q289">
        <v>6.4</v>
      </c>
      <c r="R289" t="s">
        <v>48</v>
      </c>
    </row>
    <row r="290" spans="1:18" x14ac:dyDescent="0.25">
      <c r="A290" t="s">
        <v>561</v>
      </c>
      <c r="B290" t="s">
        <v>32</v>
      </c>
      <c r="C290" t="s">
        <v>33</v>
      </c>
      <c r="D290" t="s">
        <v>34</v>
      </c>
      <c r="E290" t="s">
        <v>313</v>
      </c>
      <c r="F290" t="s">
        <v>40</v>
      </c>
      <c r="G290">
        <v>37</v>
      </c>
      <c r="H290">
        <v>1</v>
      </c>
      <c r="I290">
        <v>1.85</v>
      </c>
      <c r="J290">
        <v>38.85</v>
      </c>
      <c r="K290" s="9">
        <v>43530</v>
      </c>
      <c r="L290" t="s">
        <v>562</v>
      </c>
      <c r="M290" t="s">
        <v>42</v>
      </c>
      <c r="N290">
        <v>37</v>
      </c>
      <c r="O290">
        <v>4.7619047620000003</v>
      </c>
      <c r="P290">
        <v>1.85</v>
      </c>
      <c r="Q290">
        <v>7.9</v>
      </c>
      <c r="R290" t="s">
        <v>38</v>
      </c>
    </row>
    <row r="291" spans="1:18" x14ac:dyDescent="0.25">
      <c r="A291" t="s">
        <v>563</v>
      </c>
      <c r="B291" t="s">
        <v>23</v>
      </c>
      <c r="C291" t="s">
        <v>24</v>
      </c>
      <c r="D291" t="s">
        <v>34</v>
      </c>
      <c r="E291" t="s">
        <v>26</v>
      </c>
      <c r="F291" t="s">
        <v>46</v>
      </c>
      <c r="G291">
        <v>15.34</v>
      </c>
      <c r="H291">
        <v>1</v>
      </c>
      <c r="I291">
        <v>0.76700000000000002</v>
      </c>
      <c r="J291">
        <v>16.106999999999999</v>
      </c>
      <c r="K291" s="9">
        <v>43471</v>
      </c>
      <c r="L291" t="s">
        <v>564</v>
      </c>
      <c r="M291" t="s">
        <v>37</v>
      </c>
      <c r="N291">
        <v>15.34</v>
      </c>
      <c r="O291">
        <v>4.7619047620000003</v>
      </c>
      <c r="P291">
        <v>0.76700000000000002</v>
      </c>
      <c r="Q291">
        <v>6.5</v>
      </c>
      <c r="R291" t="s">
        <v>30</v>
      </c>
    </row>
    <row r="292" spans="1:18" x14ac:dyDescent="0.25">
      <c r="A292" t="s">
        <v>565</v>
      </c>
      <c r="B292" t="s">
        <v>23</v>
      </c>
      <c r="C292" t="s">
        <v>24</v>
      </c>
      <c r="D292" t="s">
        <v>25</v>
      </c>
      <c r="E292" t="s">
        <v>313</v>
      </c>
      <c r="F292" t="s">
        <v>27</v>
      </c>
      <c r="G292">
        <v>99.83</v>
      </c>
      <c r="H292">
        <v>6</v>
      </c>
      <c r="I292">
        <v>29.949000000000002</v>
      </c>
      <c r="J292">
        <v>628.92899999999997</v>
      </c>
      <c r="K292" s="9">
        <v>43528</v>
      </c>
      <c r="L292" t="s">
        <v>566</v>
      </c>
      <c r="M292" t="s">
        <v>29</v>
      </c>
      <c r="N292">
        <v>598.98</v>
      </c>
      <c r="O292">
        <v>4.7619047620000003</v>
      </c>
      <c r="P292">
        <v>29.949000000000002</v>
      </c>
      <c r="Q292">
        <v>8.5</v>
      </c>
      <c r="R292" t="s">
        <v>38</v>
      </c>
    </row>
    <row r="293" spans="1:18" x14ac:dyDescent="0.25">
      <c r="A293" t="s">
        <v>567</v>
      </c>
      <c r="B293" t="s">
        <v>23</v>
      </c>
      <c r="C293" t="s">
        <v>24</v>
      </c>
      <c r="D293" t="s">
        <v>25</v>
      </c>
      <c r="E293" t="s">
        <v>26</v>
      </c>
      <c r="F293" t="s">
        <v>27</v>
      </c>
      <c r="G293">
        <v>47.67</v>
      </c>
      <c r="H293">
        <v>4</v>
      </c>
      <c r="I293">
        <v>9.5340000000000007</v>
      </c>
      <c r="J293">
        <v>200.214</v>
      </c>
      <c r="K293" s="9">
        <v>43536</v>
      </c>
      <c r="L293" t="s">
        <v>568</v>
      </c>
      <c r="M293" t="s">
        <v>37</v>
      </c>
      <c r="N293">
        <v>190.68</v>
      </c>
      <c r="O293">
        <v>4.7619047620000003</v>
      </c>
      <c r="P293">
        <v>9.5340000000000007</v>
      </c>
      <c r="Q293">
        <v>9.1</v>
      </c>
      <c r="R293" t="s">
        <v>38</v>
      </c>
    </row>
    <row r="294" spans="1:18" x14ac:dyDescent="0.25">
      <c r="A294" t="s">
        <v>569</v>
      </c>
      <c r="B294" t="s">
        <v>58</v>
      </c>
      <c r="C294" t="s">
        <v>59</v>
      </c>
      <c r="D294" t="s">
        <v>34</v>
      </c>
      <c r="E294" t="s">
        <v>313</v>
      </c>
      <c r="F294" t="s">
        <v>27</v>
      </c>
      <c r="G294">
        <v>66.680000000000007</v>
      </c>
      <c r="H294">
        <v>5</v>
      </c>
      <c r="I294">
        <v>16.670000000000002</v>
      </c>
      <c r="J294">
        <v>350.07</v>
      </c>
      <c r="K294" s="9">
        <v>43516</v>
      </c>
      <c r="L294" t="s">
        <v>570</v>
      </c>
      <c r="M294" t="s">
        <v>37</v>
      </c>
      <c r="N294">
        <v>333.4</v>
      </c>
      <c r="O294">
        <v>4.7619047620000003</v>
      </c>
      <c r="P294">
        <v>16.670000000000002</v>
      </c>
      <c r="Q294">
        <v>7.6</v>
      </c>
      <c r="R294" t="s">
        <v>48</v>
      </c>
    </row>
    <row r="295" spans="1:18" x14ac:dyDescent="0.25">
      <c r="A295" t="s">
        <v>571</v>
      </c>
      <c r="B295" t="s">
        <v>32</v>
      </c>
      <c r="C295" t="s">
        <v>33</v>
      </c>
      <c r="D295" t="s">
        <v>25</v>
      </c>
      <c r="E295" t="s">
        <v>313</v>
      </c>
      <c r="F295" t="s">
        <v>40</v>
      </c>
      <c r="G295">
        <v>74.86</v>
      </c>
      <c r="H295">
        <v>1</v>
      </c>
      <c r="I295">
        <v>3.7429999999999999</v>
      </c>
      <c r="J295">
        <v>78.602999999999994</v>
      </c>
      <c r="K295" s="9">
        <v>43548</v>
      </c>
      <c r="L295" t="s">
        <v>108</v>
      </c>
      <c r="M295" t="s">
        <v>37</v>
      </c>
      <c r="N295">
        <v>74.86</v>
      </c>
      <c r="O295">
        <v>4.7619047620000003</v>
      </c>
      <c r="P295">
        <v>3.7429999999999999</v>
      </c>
      <c r="Q295">
        <v>6.9</v>
      </c>
      <c r="R295" t="s">
        <v>38</v>
      </c>
    </row>
    <row r="296" spans="1:18" x14ac:dyDescent="0.25">
      <c r="A296" t="s">
        <v>572</v>
      </c>
      <c r="B296" t="s">
        <v>32</v>
      </c>
      <c r="C296" t="s">
        <v>33</v>
      </c>
      <c r="D296" t="s">
        <v>34</v>
      </c>
      <c r="E296" t="s">
        <v>26</v>
      </c>
      <c r="F296" t="s">
        <v>46</v>
      </c>
      <c r="G296">
        <v>23.75</v>
      </c>
      <c r="H296">
        <v>9</v>
      </c>
      <c r="I296">
        <v>10.6875</v>
      </c>
      <c r="J296">
        <v>224.4375</v>
      </c>
      <c r="K296" s="9">
        <v>43496</v>
      </c>
      <c r="L296" t="s">
        <v>275</v>
      </c>
      <c r="M296" t="s">
        <v>37</v>
      </c>
      <c r="N296">
        <v>213.75</v>
      </c>
      <c r="O296">
        <v>4.7619047620000003</v>
      </c>
      <c r="P296">
        <v>10.6875</v>
      </c>
      <c r="Q296">
        <v>9.5</v>
      </c>
      <c r="R296" t="s">
        <v>30</v>
      </c>
    </row>
    <row r="297" spans="1:18" x14ac:dyDescent="0.25">
      <c r="A297" t="s">
        <v>573</v>
      </c>
      <c r="B297" t="s">
        <v>58</v>
      </c>
      <c r="C297" t="s">
        <v>59</v>
      </c>
      <c r="D297" t="s">
        <v>34</v>
      </c>
      <c r="E297" t="s">
        <v>26</v>
      </c>
      <c r="F297" t="s">
        <v>60</v>
      </c>
      <c r="G297">
        <v>48.51</v>
      </c>
      <c r="H297">
        <v>7</v>
      </c>
      <c r="I297">
        <v>16.9785</v>
      </c>
      <c r="J297">
        <v>356.54849999999999</v>
      </c>
      <c r="K297" s="9">
        <v>43490</v>
      </c>
      <c r="L297" t="s">
        <v>574</v>
      </c>
      <c r="M297" t="s">
        <v>42</v>
      </c>
      <c r="N297">
        <v>339.57</v>
      </c>
      <c r="O297">
        <v>4.7619047620000003</v>
      </c>
      <c r="P297">
        <v>16.9785</v>
      </c>
      <c r="Q297">
        <v>5.2</v>
      </c>
      <c r="R297" t="s">
        <v>30</v>
      </c>
    </row>
    <row r="298" spans="1:18" x14ac:dyDescent="0.25">
      <c r="A298" t="s">
        <v>575</v>
      </c>
      <c r="B298" t="s">
        <v>23</v>
      </c>
      <c r="C298" t="s">
        <v>24</v>
      </c>
      <c r="D298" t="s">
        <v>25</v>
      </c>
      <c r="E298" t="s">
        <v>26</v>
      </c>
      <c r="F298" t="s">
        <v>40</v>
      </c>
      <c r="G298">
        <v>94.88</v>
      </c>
      <c r="H298">
        <v>7</v>
      </c>
      <c r="I298">
        <v>33.207999999999998</v>
      </c>
      <c r="J298">
        <v>697.36800000000005</v>
      </c>
      <c r="K298" s="9">
        <v>43499</v>
      </c>
      <c r="L298" t="s">
        <v>576</v>
      </c>
      <c r="M298" t="s">
        <v>37</v>
      </c>
      <c r="N298">
        <v>664.16</v>
      </c>
      <c r="O298">
        <v>4.7619047620000003</v>
      </c>
      <c r="P298">
        <v>33.207999999999998</v>
      </c>
      <c r="Q298">
        <v>4.2</v>
      </c>
      <c r="R298" t="s">
        <v>48</v>
      </c>
    </row>
    <row r="299" spans="1:18" x14ac:dyDescent="0.25">
      <c r="A299" t="s">
        <v>577</v>
      </c>
      <c r="B299" t="s">
        <v>58</v>
      </c>
      <c r="C299" t="s">
        <v>59</v>
      </c>
      <c r="D299" t="s">
        <v>25</v>
      </c>
      <c r="E299" t="s">
        <v>313</v>
      </c>
      <c r="F299" t="s">
        <v>35</v>
      </c>
      <c r="G299">
        <v>40.299999999999997</v>
      </c>
      <c r="H299">
        <v>10</v>
      </c>
      <c r="I299">
        <v>20.149999999999999</v>
      </c>
      <c r="J299">
        <v>423.15</v>
      </c>
      <c r="K299" s="9">
        <v>43489</v>
      </c>
      <c r="L299" t="s">
        <v>578</v>
      </c>
      <c r="M299" t="s">
        <v>42</v>
      </c>
      <c r="N299">
        <v>403</v>
      </c>
      <c r="O299">
        <v>4.7619047620000003</v>
      </c>
      <c r="P299">
        <v>20.149999999999999</v>
      </c>
      <c r="Q299">
        <v>7</v>
      </c>
      <c r="R299" t="s">
        <v>30</v>
      </c>
    </row>
    <row r="300" spans="1:18" x14ac:dyDescent="0.25">
      <c r="A300" t="s">
        <v>579</v>
      </c>
      <c r="B300" t="s">
        <v>32</v>
      </c>
      <c r="C300" t="s">
        <v>33</v>
      </c>
      <c r="D300" t="s">
        <v>34</v>
      </c>
      <c r="E300" t="s">
        <v>313</v>
      </c>
      <c r="F300" t="s">
        <v>35</v>
      </c>
      <c r="G300">
        <v>27.85</v>
      </c>
      <c r="H300">
        <v>7</v>
      </c>
      <c r="I300">
        <v>9.7475000000000005</v>
      </c>
      <c r="J300">
        <v>204.69749999999999</v>
      </c>
      <c r="K300" s="9">
        <v>43538</v>
      </c>
      <c r="L300" t="s">
        <v>580</v>
      </c>
      <c r="M300" t="s">
        <v>29</v>
      </c>
      <c r="N300">
        <v>194.95</v>
      </c>
      <c r="O300">
        <v>4.7619047620000003</v>
      </c>
      <c r="P300">
        <v>9.7475000000000005</v>
      </c>
      <c r="Q300">
        <v>6</v>
      </c>
      <c r="R300" t="s">
        <v>38</v>
      </c>
    </row>
    <row r="301" spans="1:18" x14ac:dyDescent="0.25">
      <c r="A301" t="s">
        <v>581</v>
      </c>
      <c r="B301" t="s">
        <v>23</v>
      </c>
      <c r="C301" t="s">
        <v>24</v>
      </c>
      <c r="D301" t="s">
        <v>25</v>
      </c>
      <c r="E301" t="s">
        <v>26</v>
      </c>
      <c r="F301" t="s">
        <v>35</v>
      </c>
      <c r="G301">
        <v>62.48</v>
      </c>
      <c r="H301">
        <v>1</v>
      </c>
      <c r="I301">
        <v>3.1240000000000001</v>
      </c>
      <c r="J301">
        <v>65.603999999999999</v>
      </c>
      <c r="K301" s="9">
        <v>43514</v>
      </c>
      <c r="L301" t="s">
        <v>582</v>
      </c>
      <c r="M301" t="s">
        <v>37</v>
      </c>
      <c r="N301">
        <v>62.48</v>
      </c>
      <c r="O301">
        <v>4.7619047620000003</v>
      </c>
      <c r="P301">
        <v>3.1240000000000001</v>
      </c>
      <c r="Q301">
        <v>4.7</v>
      </c>
      <c r="R301" t="s">
        <v>48</v>
      </c>
    </row>
    <row r="302" spans="1:18" x14ac:dyDescent="0.25">
      <c r="A302" t="s">
        <v>583</v>
      </c>
      <c r="B302" t="s">
        <v>23</v>
      </c>
      <c r="C302" t="s">
        <v>24</v>
      </c>
      <c r="D302" t="s">
        <v>25</v>
      </c>
      <c r="E302" t="s">
        <v>26</v>
      </c>
      <c r="F302" t="s">
        <v>60</v>
      </c>
      <c r="G302">
        <v>36.36</v>
      </c>
      <c r="H302">
        <v>2</v>
      </c>
      <c r="I302">
        <v>3.6360000000000001</v>
      </c>
      <c r="J302">
        <v>76.355999999999995</v>
      </c>
      <c r="K302" s="9">
        <v>43486</v>
      </c>
      <c r="L302" t="s">
        <v>383</v>
      </c>
      <c r="M302" t="s">
        <v>37</v>
      </c>
      <c r="N302">
        <v>72.72</v>
      </c>
      <c r="O302">
        <v>4.7619047620000003</v>
      </c>
      <c r="P302">
        <v>3.6360000000000001</v>
      </c>
      <c r="Q302">
        <v>7.1</v>
      </c>
      <c r="R302" t="s">
        <v>30</v>
      </c>
    </row>
    <row r="303" spans="1:18" x14ac:dyDescent="0.25">
      <c r="A303" t="s">
        <v>584</v>
      </c>
      <c r="B303" t="s">
        <v>58</v>
      </c>
      <c r="C303" t="s">
        <v>59</v>
      </c>
      <c r="D303" t="s">
        <v>34</v>
      </c>
      <c r="E303" t="s">
        <v>313</v>
      </c>
      <c r="F303" t="s">
        <v>27</v>
      </c>
      <c r="G303">
        <v>18.11</v>
      </c>
      <c r="H303">
        <v>10</v>
      </c>
      <c r="I303">
        <v>9.0549999999999997</v>
      </c>
      <c r="J303">
        <v>190.155</v>
      </c>
      <c r="K303" s="9">
        <v>43537</v>
      </c>
      <c r="L303" t="s">
        <v>585</v>
      </c>
      <c r="M303" t="s">
        <v>29</v>
      </c>
      <c r="N303">
        <v>181.1</v>
      </c>
      <c r="O303">
        <v>4.7619047620000003</v>
      </c>
      <c r="P303">
        <v>9.0549999999999997</v>
      </c>
      <c r="Q303">
        <v>5.9</v>
      </c>
      <c r="R303" t="s">
        <v>38</v>
      </c>
    </row>
    <row r="304" spans="1:18" x14ac:dyDescent="0.25">
      <c r="A304" t="s">
        <v>586</v>
      </c>
      <c r="B304" t="s">
        <v>32</v>
      </c>
      <c r="C304" t="s">
        <v>33</v>
      </c>
      <c r="D304" t="s">
        <v>25</v>
      </c>
      <c r="E304" t="s">
        <v>26</v>
      </c>
      <c r="F304" t="s">
        <v>35</v>
      </c>
      <c r="G304">
        <v>51.92</v>
      </c>
      <c r="H304">
        <v>5</v>
      </c>
      <c r="I304">
        <v>12.98</v>
      </c>
      <c r="J304">
        <v>272.58</v>
      </c>
      <c r="K304" s="9">
        <v>43527</v>
      </c>
      <c r="L304" t="s">
        <v>587</v>
      </c>
      <c r="M304" t="s">
        <v>37</v>
      </c>
      <c r="N304">
        <v>259.60000000000002</v>
      </c>
      <c r="O304">
        <v>4.7619047620000003</v>
      </c>
      <c r="P304">
        <v>12.98</v>
      </c>
      <c r="Q304">
        <v>7.5</v>
      </c>
      <c r="R304" t="s">
        <v>38</v>
      </c>
    </row>
    <row r="305" spans="1:18" x14ac:dyDescent="0.25">
      <c r="A305" t="s">
        <v>588</v>
      </c>
      <c r="B305" t="s">
        <v>32</v>
      </c>
      <c r="C305" t="s">
        <v>33</v>
      </c>
      <c r="D305" t="s">
        <v>34</v>
      </c>
      <c r="E305" t="s">
        <v>313</v>
      </c>
      <c r="F305" t="s">
        <v>35</v>
      </c>
      <c r="G305">
        <v>28.84</v>
      </c>
      <c r="H305">
        <v>4</v>
      </c>
      <c r="I305">
        <v>5.7679999999999998</v>
      </c>
      <c r="J305">
        <v>121.128</v>
      </c>
      <c r="K305" s="9">
        <v>43553</v>
      </c>
      <c r="L305" t="s">
        <v>589</v>
      </c>
      <c r="M305" t="s">
        <v>37</v>
      </c>
      <c r="N305">
        <v>115.36</v>
      </c>
      <c r="O305">
        <v>4.7619047620000003</v>
      </c>
      <c r="P305">
        <v>5.7679999999999998</v>
      </c>
      <c r="Q305">
        <v>6.4</v>
      </c>
      <c r="R305" t="s">
        <v>38</v>
      </c>
    </row>
    <row r="306" spans="1:18" x14ac:dyDescent="0.25">
      <c r="A306" t="s">
        <v>590</v>
      </c>
      <c r="B306" t="s">
        <v>23</v>
      </c>
      <c r="C306" t="s">
        <v>24</v>
      </c>
      <c r="D306" t="s">
        <v>25</v>
      </c>
      <c r="E306" t="s">
        <v>313</v>
      </c>
      <c r="F306" t="s">
        <v>40</v>
      </c>
      <c r="G306">
        <v>78.38</v>
      </c>
      <c r="H306">
        <v>6</v>
      </c>
      <c r="I306">
        <v>23.513999999999999</v>
      </c>
      <c r="J306">
        <v>493.79399999999998</v>
      </c>
      <c r="K306" s="9">
        <v>43475</v>
      </c>
      <c r="L306" t="s">
        <v>591</v>
      </c>
      <c r="M306" t="s">
        <v>29</v>
      </c>
      <c r="N306">
        <v>470.28</v>
      </c>
      <c r="O306">
        <v>4.7619047620000003</v>
      </c>
      <c r="P306">
        <v>23.513999999999999</v>
      </c>
      <c r="Q306">
        <v>5.8</v>
      </c>
      <c r="R306" t="s">
        <v>30</v>
      </c>
    </row>
    <row r="307" spans="1:18" x14ac:dyDescent="0.25">
      <c r="A307" t="s">
        <v>592</v>
      </c>
      <c r="B307" t="s">
        <v>23</v>
      </c>
      <c r="C307" t="s">
        <v>24</v>
      </c>
      <c r="D307" t="s">
        <v>25</v>
      </c>
      <c r="E307" t="s">
        <v>313</v>
      </c>
      <c r="F307" t="s">
        <v>40</v>
      </c>
      <c r="G307">
        <v>60.01</v>
      </c>
      <c r="H307">
        <v>4</v>
      </c>
      <c r="I307">
        <v>12.002000000000001</v>
      </c>
      <c r="J307">
        <v>252.042</v>
      </c>
      <c r="K307" s="9">
        <v>43490</v>
      </c>
      <c r="L307" t="s">
        <v>593</v>
      </c>
      <c r="M307" t="s">
        <v>37</v>
      </c>
      <c r="N307">
        <v>240.04</v>
      </c>
      <c r="O307">
        <v>4.7619047620000003</v>
      </c>
      <c r="P307">
        <v>12.002000000000001</v>
      </c>
      <c r="Q307">
        <v>4.5</v>
      </c>
      <c r="R307" t="s">
        <v>30</v>
      </c>
    </row>
    <row r="308" spans="1:18" x14ac:dyDescent="0.25">
      <c r="A308" t="s">
        <v>594</v>
      </c>
      <c r="B308" t="s">
        <v>32</v>
      </c>
      <c r="C308" t="s">
        <v>33</v>
      </c>
      <c r="D308" t="s">
        <v>25</v>
      </c>
      <c r="E308" t="s">
        <v>26</v>
      </c>
      <c r="F308" t="s">
        <v>40</v>
      </c>
      <c r="G308">
        <v>88.61</v>
      </c>
      <c r="H308">
        <v>1</v>
      </c>
      <c r="I308">
        <v>4.4305000000000003</v>
      </c>
      <c r="J308">
        <v>93.040499999999994</v>
      </c>
      <c r="K308" s="9">
        <v>43484</v>
      </c>
      <c r="L308" t="s">
        <v>595</v>
      </c>
      <c r="M308" t="s">
        <v>37</v>
      </c>
      <c r="N308">
        <v>88.61</v>
      </c>
      <c r="O308">
        <v>4.7619047620000003</v>
      </c>
      <c r="P308">
        <v>4.4305000000000003</v>
      </c>
      <c r="Q308">
        <v>7.7</v>
      </c>
      <c r="R308" t="s">
        <v>30</v>
      </c>
    </row>
  </sheetData>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Sheet4</vt:lpstr>
      <vt:lpstr>PartB- EDA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2026-03-06T23:46:13Z</dcterms:created>
  <dcterms:modified xsi:type="dcterms:W3CDTF">2026-03-09T11:09:34Z</dcterms:modified>
</cp:coreProperties>
</file>